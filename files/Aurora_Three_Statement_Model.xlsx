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tha\Documents\Projects\Three Statement Model\"/>
    </mc:Choice>
  </mc:AlternateContent>
  <xr:revisionPtr revIDLastSave="0" documentId="13_ncr:1_{14D76768-560E-46CF-9974-352F2BE88E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sumptions" sheetId="1" r:id="rId1"/>
    <sheet name="Three Statement Mode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9" i="2" l="1"/>
  <c r="I97" i="2" s="1"/>
  <c r="I100" i="2" s="1"/>
  <c r="I27" i="2" s="1"/>
  <c r="G99" i="2"/>
  <c r="F99" i="2"/>
  <c r="E99" i="2"/>
  <c r="D99" i="2"/>
  <c r="M98" i="2"/>
  <c r="M73" i="2" s="1"/>
  <c r="L98" i="2"/>
  <c r="L73" i="2" s="1"/>
  <c r="K98" i="2"/>
  <c r="K73" i="2" s="1"/>
  <c r="J98" i="2"/>
  <c r="J73" i="2" s="1"/>
  <c r="I98" i="2"/>
  <c r="I73" i="2" s="1"/>
  <c r="H94" i="2"/>
  <c r="I91" i="2" s="1"/>
  <c r="G94" i="2"/>
  <c r="F94" i="2"/>
  <c r="E94" i="2"/>
  <c r="D94" i="2"/>
  <c r="M92" i="2"/>
  <c r="M69" i="2" s="1"/>
  <c r="M70" i="2" s="1"/>
  <c r="L92" i="2"/>
  <c r="L69" i="2" s="1"/>
  <c r="L70" i="2" s="1"/>
  <c r="K92" i="2"/>
  <c r="K69" i="2" s="1"/>
  <c r="K70" i="2" s="1"/>
  <c r="J92" i="2"/>
  <c r="J69" i="2" s="1"/>
  <c r="J70" i="2" s="1"/>
  <c r="I92" i="2"/>
  <c r="I69" i="2" s="1"/>
  <c r="I70" i="2" s="1"/>
  <c r="H87" i="2"/>
  <c r="G87" i="2"/>
  <c r="F87" i="2"/>
  <c r="E87" i="2"/>
  <c r="D87" i="2"/>
  <c r="H75" i="2"/>
  <c r="G75" i="2"/>
  <c r="F75" i="2"/>
  <c r="E75" i="2"/>
  <c r="D75" i="2"/>
  <c r="M74" i="2"/>
  <c r="L74" i="2"/>
  <c r="K74" i="2"/>
  <c r="J74" i="2"/>
  <c r="I74" i="2"/>
  <c r="H70" i="2"/>
  <c r="G70" i="2"/>
  <c r="F70" i="2"/>
  <c r="E70" i="2"/>
  <c r="D70" i="2"/>
  <c r="D66" i="2"/>
  <c r="H65" i="2"/>
  <c r="G65" i="2"/>
  <c r="F65" i="2"/>
  <c r="E65" i="2"/>
  <c r="H64" i="2"/>
  <c r="G64" i="2"/>
  <c r="F64" i="2"/>
  <c r="E64" i="2"/>
  <c r="H63" i="2"/>
  <c r="G63" i="2"/>
  <c r="F63" i="2"/>
  <c r="E63" i="2"/>
  <c r="H53" i="2"/>
  <c r="G53" i="2"/>
  <c r="F53" i="2"/>
  <c r="E53" i="2"/>
  <c r="D53" i="2"/>
  <c r="I51" i="2"/>
  <c r="J51" i="2" s="1"/>
  <c r="H46" i="2"/>
  <c r="H49" i="2" s="1"/>
  <c r="G46" i="2"/>
  <c r="G49" i="2" s="1"/>
  <c r="F46" i="2"/>
  <c r="F49" i="2" s="1"/>
  <c r="E46" i="2"/>
  <c r="E49" i="2" s="1"/>
  <c r="D46" i="2"/>
  <c r="D49" i="2" s="1"/>
  <c r="H39" i="2"/>
  <c r="H42" i="2" s="1"/>
  <c r="G39" i="2"/>
  <c r="G42" i="2" s="1"/>
  <c r="F39" i="2"/>
  <c r="F42" i="2" s="1"/>
  <c r="E39" i="2"/>
  <c r="E42" i="2" s="1"/>
  <c r="D39" i="2"/>
  <c r="D42" i="2" s="1"/>
  <c r="H22" i="2"/>
  <c r="H24" i="2" s="1"/>
  <c r="H25" i="2" s="1"/>
  <c r="G22" i="2"/>
  <c r="G24" i="2" s="1"/>
  <c r="G25" i="2" s="1"/>
  <c r="F22" i="2"/>
  <c r="F24" i="2" s="1"/>
  <c r="F25" i="2" s="1"/>
  <c r="E22" i="2"/>
  <c r="E24" i="2" s="1"/>
  <c r="E25" i="2" s="1"/>
  <c r="D22" i="2"/>
  <c r="D24" i="2" s="1"/>
  <c r="D25" i="2" s="1"/>
  <c r="M19" i="2"/>
  <c r="L19" i="2"/>
  <c r="K19" i="2"/>
  <c r="J19" i="2"/>
  <c r="I19" i="2"/>
  <c r="H13" i="2"/>
  <c r="H12" i="1" s="1"/>
  <c r="G13" i="2"/>
  <c r="G12" i="1" s="1"/>
  <c r="F13" i="2"/>
  <c r="F12" i="1" s="1"/>
  <c r="E13" i="2"/>
  <c r="E12" i="1" s="1"/>
  <c r="D13" i="2"/>
  <c r="D12" i="1" s="1"/>
  <c r="H9" i="2"/>
  <c r="H10" i="2" s="1"/>
  <c r="G9" i="2"/>
  <c r="G10" i="2" s="1"/>
  <c r="F9" i="2"/>
  <c r="F10" i="2" s="1"/>
  <c r="E9" i="2"/>
  <c r="E10" i="2" s="1"/>
  <c r="D9" i="2"/>
  <c r="D10" i="2" s="1"/>
  <c r="I8" i="2"/>
  <c r="I11" i="2" s="1"/>
  <c r="I86" i="2" s="1"/>
  <c r="I65" i="2" s="1"/>
  <c r="D55" i="2" l="1"/>
  <c r="D56" i="2" s="1"/>
  <c r="M75" i="2"/>
  <c r="G88" i="2"/>
  <c r="I75" i="2"/>
  <c r="F55" i="2"/>
  <c r="F56" i="2" s="1"/>
  <c r="I18" i="2"/>
  <c r="G55" i="2"/>
  <c r="G56" i="2" s="1"/>
  <c r="D77" i="2"/>
  <c r="D79" i="2" s="1"/>
  <c r="E55" i="2"/>
  <c r="E56" i="2" s="1"/>
  <c r="H55" i="2"/>
  <c r="H3" i="2" s="1"/>
  <c r="E66" i="2"/>
  <c r="E77" i="2" s="1"/>
  <c r="E79" i="2" s="1"/>
  <c r="J75" i="2"/>
  <c r="F66" i="2"/>
  <c r="F77" i="2" s="1"/>
  <c r="F79" i="2" s="1"/>
  <c r="K75" i="2"/>
  <c r="H88" i="2"/>
  <c r="G66" i="2"/>
  <c r="G77" i="2" s="1"/>
  <c r="G79" i="2" s="1"/>
  <c r="L75" i="2"/>
  <c r="H66" i="2"/>
  <c r="H77" i="2" s="1"/>
  <c r="H79" i="2" s="1"/>
  <c r="I78" i="2" s="1"/>
  <c r="I93" i="2"/>
  <c r="I21" i="2" s="1"/>
  <c r="I62" i="2" s="1"/>
  <c r="I9" i="2"/>
  <c r="I10" i="2" s="1"/>
  <c r="I16" i="2"/>
  <c r="I84" i="2"/>
  <c r="D28" i="2"/>
  <c r="D30" i="2" s="1"/>
  <c r="D31" i="2" s="1"/>
  <c r="J8" i="2"/>
  <c r="E28" i="2"/>
  <c r="E30" i="2" s="1"/>
  <c r="E31" i="2" s="1"/>
  <c r="I45" i="2"/>
  <c r="I46" i="2" s="1"/>
  <c r="F28" i="2"/>
  <c r="F30" i="2" s="1"/>
  <c r="F31" i="2" s="1"/>
  <c r="I12" i="2"/>
  <c r="G28" i="2"/>
  <c r="G30" i="2" s="1"/>
  <c r="G31" i="2" s="1"/>
  <c r="I85" i="2"/>
  <c r="H28" i="2"/>
  <c r="H30" i="2" s="1"/>
  <c r="H31" i="2" s="1"/>
  <c r="I17" i="2"/>
  <c r="F88" i="2"/>
  <c r="E88" i="2"/>
  <c r="K51" i="2"/>
  <c r="I20" i="2"/>
  <c r="I99" i="2"/>
  <c r="F3" i="2" l="1"/>
  <c r="H56" i="2"/>
  <c r="D3" i="2"/>
  <c r="E3" i="2"/>
  <c r="G3" i="2"/>
  <c r="I22" i="2"/>
  <c r="I24" i="2" s="1"/>
  <c r="I48" i="2"/>
  <c r="I49" i="2" s="1"/>
  <c r="J97" i="2"/>
  <c r="I94" i="2"/>
  <c r="I38" i="2"/>
  <c r="I64" i="2"/>
  <c r="L51" i="2"/>
  <c r="I13" i="2"/>
  <c r="I12" i="1" s="1"/>
  <c r="J16" i="2"/>
  <c r="J84" i="2"/>
  <c r="J20" i="2"/>
  <c r="J17" i="2"/>
  <c r="K8" i="2"/>
  <c r="J18" i="2"/>
  <c r="J11" i="2"/>
  <c r="J12" i="2" s="1"/>
  <c r="J9" i="2"/>
  <c r="J10" i="2" s="1"/>
  <c r="I87" i="2"/>
  <c r="I88" i="2" s="1"/>
  <c r="I63" i="2"/>
  <c r="I37" i="2"/>
  <c r="J13" i="2" l="1"/>
  <c r="J12" i="1" s="1"/>
  <c r="M51" i="2"/>
  <c r="J86" i="2"/>
  <c r="J85" i="2"/>
  <c r="I28" i="2"/>
  <c r="I25" i="2"/>
  <c r="J100" i="2"/>
  <c r="J27" i="2" s="1"/>
  <c r="J99" i="2"/>
  <c r="K18" i="2"/>
  <c r="K84" i="2"/>
  <c r="K17" i="2"/>
  <c r="K16" i="2"/>
  <c r="L8" i="2"/>
  <c r="K11" i="2"/>
  <c r="K9" i="2"/>
  <c r="K10" i="2" s="1"/>
  <c r="K20" i="2"/>
  <c r="J91" i="2"/>
  <c r="I41" i="2"/>
  <c r="J63" i="2"/>
  <c r="J37" i="2"/>
  <c r="K85" i="2" l="1"/>
  <c r="K86" i="2"/>
  <c r="J38" i="2"/>
  <c r="J64" i="2"/>
  <c r="J87" i="2"/>
  <c r="J88" i="2" s="1"/>
  <c r="J48" i="2"/>
  <c r="K97" i="2"/>
  <c r="I29" i="2"/>
  <c r="I30" i="2" s="1"/>
  <c r="K37" i="2"/>
  <c r="K63" i="2"/>
  <c r="L18" i="2"/>
  <c r="L20" i="2"/>
  <c r="L16" i="2"/>
  <c r="M8" i="2"/>
  <c r="L84" i="2"/>
  <c r="L11" i="2"/>
  <c r="L12" i="2" s="1"/>
  <c r="L9" i="2"/>
  <c r="L10" i="2" s="1"/>
  <c r="L17" i="2"/>
  <c r="J65" i="2"/>
  <c r="J45" i="2"/>
  <c r="J46" i="2" s="1"/>
  <c r="K12" i="2"/>
  <c r="J93" i="2"/>
  <c r="J21" i="2" s="1"/>
  <c r="K87" i="2" l="1"/>
  <c r="K88" i="2" s="1"/>
  <c r="J94" i="2"/>
  <c r="J41" i="2" s="1"/>
  <c r="I52" i="2"/>
  <c r="I61" i="2"/>
  <c r="I66" i="2" s="1"/>
  <c r="I77" i="2" s="1"/>
  <c r="I79" i="2" s="1"/>
  <c r="I36" i="2" s="1"/>
  <c r="I31" i="2"/>
  <c r="L13" i="2"/>
  <c r="L12" i="1" s="1"/>
  <c r="M20" i="2"/>
  <c r="M16" i="2"/>
  <c r="M84" i="2"/>
  <c r="M11" i="2"/>
  <c r="M12" i="2" s="1"/>
  <c r="M13" i="2" s="1"/>
  <c r="M12" i="1" s="1"/>
  <c r="M18" i="2"/>
  <c r="M9" i="2"/>
  <c r="M10" i="2" s="1"/>
  <c r="M17" i="2"/>
  <c r="K100" i="2"/>
  <c r="K27" i="2" s="1"/>
  <c r="K99" i="2"/>
  <c r="K13" i="2"/>
  <c r="K12" i="1" s="1"/>
  <c r="J49" i="2"/>
  <c r="J62" i="2"/>
  <c r="J22" i="2"/>
  <c r="J24" i="2" s="1"/>
  <c r="K45" i="2"/>
  <c r="K46" i="2" s="1"/>
  <c r="K65" i="2"/>
  <c r="L85" i="2"/>
  <c r="L86" i="2"/>
  <c r="L37" i="2"/>
  <c r="L63" i="2"/>
  <c r="K64" i="2"/>
  <c r="K38" i="2"/>
  <c r="K91" i="2" l="1"/>
  <c r="K93" i="2" s="1"/>
  <c r="K21" i="2" s="1"/>
  <c r="L87" i="2"/>
  <c r="L88" i="2" s="1"/>
  <c r="M37" i="2"/>
  <c r="M63" i="2"/>
  <c r="K48" i="2"/>
  <c r="K49" i="2" s="1"/>
  <c r="L97" i="2"/>
  <c r="L45" i="2"/>
  <c r="L46" i="2" s="1"/>
  <c r="L65" i="2"/>
  <c r="J78" i="2"/>
  <c r="I39" i="2"/>
  <c r="I42" i="2" s="1"/>
  <c r="L64" i="2"/>
  <c r="L38" i="2"/>
  <c r="J28" i="2"/>
  <c r="J25" i="2"/>
  <c r="M85" i="2"/>
  <c r="M86" i="2"/>
  <c r="I53" i="2"/>
  <c r="I55" i="2" s="1"/>
  <c r="K94" i="2" l="1"/>
  <c r="K41" i="2" s="1"/>
  <c r="I56" i="2"/>
  <c r="I3" i="2"/>
  <c r="J29" i="2"/>
  <c r="J30" i="2" s="1"/>
  <c r="M45" i="2"/>
  <c r="M46" i="2" s="1"/>
  <c r="M65" i="2"/>
  <c r="M38" i="2"/>
  <c r="M64" i="2"/>
  <c r="L100" i="2"/>
  <c r="L27" i="2" s="1"/>
  <c r="L99" i="2"/>
  <c r="M87" i="2"/>
  <c r="M88" i="2" s="1"/>
  <c r="K62" i="2"/>
  <c r="K22" i="2"/>
  <c r="K24" i="2" s="1"/>
  <c r="L91" i="2" l="1"/>
  <c r="L93" i="2" s="1"/>
  <c r="L21" i="2" s="1"/>
  <c r="J61" i="2"/>
  <c r="J66" i="2" s="1"/>
  <c r="J77" i="2" s="1"/>
  <c r="J79" i="2" s="1"/>
  <c r="J31" i="2"/>
  <c r="J52" i="2"/>
  <c r="K28" i="2"/>
  <c r="K25" i="2"/>
  <c r="L48" i="2"/>
  <c r="L49" i="2" s="1"/>
  <c r="M97" i="2"/>
  <c r="L62" i="2" l="1"/>
  <c r="L22" i="2"/>
  <c r="L24" i="2" s="1"/>
  <c r="J53" i="2"/>
  <c r="J55" i="2" s="1"/>
  <c r="M100" i="2"/>
  <c r="M27" i="2" s="1"/>
  <c r="M99" i="2"/>
  <c r="M48" i="2" s="1"/>
  <c r="M49" i="2" s="1"/>
  <c r="K29" i="2"/>
  <c r="K30" i="2" s="1"/>
  <c r="L94" i="2"/>
  <c r="K78" i="2"/>
  <c r="J36" i="2"/>
  <c r="J39" i="2" s="1"/>
  <c r="J42" i="2" s="1"/>
  <c r="K61" i="2" l="1"/>
  <c r="K66" i="2" s="1"/>
  <c r="K77" i="2" s="1"/>
  <c r="K79" i="2" s="1"/>
  <c r="K31" i="2"/>
  <c r="K52" i="2"/>
  <c r="J56" i="2"/>
  <c r="J3" i="2"/>
  <c r="M91" i="2"/>
  <c r="L41" i="2"/>
  <c r="L28" i="2"/>
  <c r="L25" i="2"/>
  <c r="L29" i="2" l="1"/>
  <c r="L30" i="2" s="1"/>
  <c r="K36" i="2"/>
  <c r="K39" i="2" s="1"/>
  <c r="K42" i="2" s="1"/>
  <c r="L78" i="2"/>
  <c r="M93" i="2"/>
  <c r="M21" i="2" s="1"/>
  <c r="K53" i="2"/>
  <c r="K55" i="2" s="1"/>
  <c r="L61" i="2" l="1"/>
  <c r="L66" i="2" s="1"/>
  <c r="L77" i="2" s="1"/>
  <c r="L79" i="2" s="1"/>
  <c r="L31" i="2"/>
  <c r="L52" i="2"/>
  <c r="M62" i="2"/>
  <c r="M22" i="2"/>
  <c r="M24" i="2" s="1"/>
  <c r="M94" i="2"/>
  <c r="M41" i="2" s="1"/>
  <c r="K56" i="2"/>
  <c r="K3" i="2"/>
  <c r="L36" i="2" l="1"/>
  <c r="L39" i="2" s="1"/>
  <c r="L42" i="2" s="1"/>
  <c r="M78" i="2"/>
  <c r="M28" i="2"/>
  <c r="M25" i="2"/>
  <c r="L53" i="2"/>
  <c r="L55" i="2" s="1"/>
  <c r="M29" i="2" l="1"/>
  <c r="M30" i="2" s="1"/>
  <c r="L3" i="2"/>
  <c r="L56" i="2"/>
  <c r="M61" i="2" l="1"/>
  <c r="M66" i="2" s="1"/>
  <c r="M77" i="2" s="1"/>
  <c r="M79" i="2" s="1"/>
  <c r="M36" i="2" s="1"/>
  <c r="M39" i="2" s="1"/>
  <c r="M42" i="2" s="1"/>
  <c r="M31" i="2"/>
  <c r="M52" i="2"/>
  <c r="M53" i="2" s="1"/>
  <c r="M55" i="2" s="1"/>
  <c r="M56" i="2" l="1"/>
  <c r="M3" i="2"/>
</calcChain>
</file>

<file path=xl/sharedStrings.xml><?xml version="1.0" encoding="utf-8"?>
<sst xmlns="http://schemas.openxmlformats.org/spreadsheetml/2006/main" count="155" uniqueCount="142">
  <si>
    <t>AURORA OUTDOOR SUPPLY CO. — MODEL ASSUMPTIONS</t>
  </si>
  <si>
    <t>Multi-Channel Outdoor Retailer  |  Three Statement Financial Model  |  All figures in $000s</t>
  </si>
  <si>
    <t>Notes</t>
  </si>
  <si>
    <t>REVENUE</t>
  </si>
  <si>
    <t>Revenue Growth (YoY %)</t>
  </si>
  <si>
    <t>Overall store + online revenue</t>
  </si>
  <si>
    <t>Online Channel Mix (%)</t>
  </si>
  <si>
    <t>% of revenue via e-commerce</t>
  </si>
  <si>
    <t>Store Channel Mix (%)</t>
  </si>
  <si>
    <t>% of revenue via physical stores</t>
  </si>
  <si>
    <t>MARGINS</t>
  </si>
  <si>
    <t>Cost of Goods Sold (% Rev)</t>
  </si>
  <si>
    <t>Blended COGS across all channels</t>
  </si>
  <si>
    <t>Gross Margin (%)</t>
  </si>
  <si>
    <t>OPERATING EXPENSES</t>
  </si>
  <si>
    <t>Store Labour (% Rev)</t>
  </si>
  <si>
    <t>In-store staff wages &amp; oncosts</t>
  </si>
  <si>
    <t>Fulfilment &amp; Logistics (% Rev)</t>
  </si>
  <si>
    <t>Online pick/pack &amp; freight</t>
  </si>
  <si>
    <t>Marketing &amp; Promotions (% Rev)</t>
  </si>
  <si>
    <t>Paid, brand, catalogue</t>
  </si>
  <si>
    <t>Rent &amp; Occupancy ($000s)</t>
  </si>
  <si>
    <t>Fixed store leases + DC</t>
  </si>
  <si>
    <t>G&amp;A (% Rev)</t>
  </si>
  <si>
    <t>Corporate overhead</t>
  </si>
  <si>
    <t>D&amp;A &amp; CAPEX</t>
  </si>
  <si>
    <t>Depreciation (% Opening PP&amp;E)</t>
  </si>
  <si>
    <t>Straight-line on opening balance</t>
  </si>
  <si>
    <t>Capital Expenditures ($000s)</t>
  </si>
  <si>
    <t>Store refits, IT, DC equipment</t>
  </si>
  <si>
    <t>BALANCE SHEET</t>
  </si>
  <si>
    <t>Accounts Receivable (Days)</t>
  </si>
  <si>
    <t>Mostly wholesale; retail is near-zero</t>
  </si>
  <si>
    <t>Inventory (Days)</t>
  </si>
  <si>
    <t>Days of COGS held; outdoor retail seasonal</t>
  </si>
  <si>
    <t>Accounts Payable (Days)</t>
  </si>
  <si>
    <t>Supplier payment terms</t>
  </si>
  <si>
    <t>FINANCING</t>
  </si>
  <si>
    <t>Interest Rate (% of Debt)</t>
  </si>
  <si>
    <t>Blended borrowing rate</t>
  </si>
  <si>
    <t>Tax Rate (%)</t>
  </si>
  <si>
    <t>Effective corporate tax rate</t>
  </si>
  <si>
    <t>Debt Issuance / (Repayment) ($000s)</t>
  </si>
  <si>
    <t>Planned debt movements</t>
  </si>
  <si>
    <t>Equity Issued / (Repaid) ($000s)</t>
  </si>
  <si>
    <t>Equity raise or buyback</t>
  </si>
  <si>
    <t>Days in Year</t>
  </si>
  <si>
    <t>COLOUR LEGEND</t>
  </si>
  <si>
    <t>Blue text = Hardcoded input (user-editable)</t>
  </si>
  <si>
    <t>Black text = Calculated formula</t>
  </si>
  <si>
    <t>Green text = Cross-sheet link</t>
  </si>
  <si>
    <t>AURORA OUTDOOR SUPPLY CO. — THREE STATEMENT MODEL</t>
  </si>
  <si>
    <t>Multi-Channel Outdoor Retailer  |  All figures in $000s unless noted  |  FY21-FY25 Historical  |  FY26-FY30 Forecast</t>
  </si>
  <si>
    <t>Balance Sheet Check →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</si>
  <si>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</si>
  <si>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</si>
  <si>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</si>
  <si>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</si>
  <si>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</si>
  <si>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</si>
  <si>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</si>
  <si>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</si>
  <si>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</si>
  <si>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</si>
  <si>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INCOME STATEMENT  ($000s)</t>
  </si>
  <si>
    <t>Revenue  ($000s)</t>
  </si>
  <si>
    <t xml:space="preserve">  Online Channel</t>
  </si>
  <si>
    <t xml:space="preserve">  Store Channel</t>
  </si>
  <si>
    <t>Cost of Goods Sold</t>
  </si>
  <si>
    <t>Gross Profit</t>
  </si>
  <si>
    <t xml:space="preserve">  Gross Margin (%)</t>
  </si>
  <si>
    <t>Operating Expenses</t>
  </si>
  <si>
    <t xml:space="preserve">  Store Labour</t>
  </si>
  <si>
    <t xml:space="preserve">  Fulfilment &amp; Logistics</t>
  </si>
  <si>
    <t xml:space="preserve">  Marketing &amp; Promotions</t>
  </si>
  <si>
    <t xml:space="preserve">  Rent &amp; Occupancy</t>
  </si>
  <si>
    <t xml:space="preserve">  General &amp; Administrative</t>
  </si>
  <si>
    <t xml:space="preserve">  Depreciation &amp; Amortisation</t>
  </si>
  <si>
    <t>Total Operating Expenses</t>
  </si>
  <si>
    <t>EBIT</t>
  </si>
  <si>
    <t xml:space="preserve">  EBIT Margin (%)</t>
  </si>
  <si>
    <t xml:space="preserve">  Interest Expense</t>
  </si>
  <si>
    <t>Earnings Before Tax</t>
  </si>
  <si>
    <t xml:space="preserve">  Income Tax Expense</t>
  </si>
  <si>
    <t>Net Profit</t>
  </si>
  <si>
    <t xml:space="preserve">  Net Margin (%)</t>
  </si>
  <si>
    <t>BALANCE SHEET  ($000s)</t>
  </si>
  <si>
    <t>Assets</t>
  </si>
  <si>
    <t>Cash &amp; Cash Equivalents</t>
  </si>
  <si>
    <t>Accounts Receivable</t>
  </si>
  <si>
    <t>Inventory</t>
  </si>
  <si>
    <t>Total Current Assets</t>
  </si>
  <si>
    <t>Property, Plant &amp; Equipment (net)</t>
  </si>
  <si>
    <t>Total Assets</t>
  </si>
  <si>
    <t>Liabilities &amp; Equity</t>
  </si>
  <si>
    <t>Accounts Payable</t>
  </si>
  <si>
    <t>Total Current Liabilities</t>
  </si>
  <si>
    <t>Long-term Debt</t>
  </si>
  <si>
    <t>Total Liabilities</t>
  </si>
  <si>
    <t>Share Capital</t>
  </si>
  <si>
    <t>Retained Earnings</t>
  </si>
  <si>
    <t>Total Shareholders' Equity</t>
  </si>
  <si>
    <t>Total Liabilities &amp; Equity</t>
  </si>
  <si>
    <t>Balance Sheet Check</t>
  </si>
  <si>
    <t>CASH FLOW STATEMENT  ($000s)</t>
  </si>
  <si>
    <t>Operating Activities</t>
  </si>
  <si>
    <t xml:space="preserve">  Net Profit</t>
  </si>
  <si>
    <t xml:space="preserve">  Add: D&amp;A</t>
  </si>
  <si>
    <t xml:space="preserve">  Change in Accounts Receivable</t>
  </si>
  <si>
    <t xml:space="preserve">  Change in Inventory</t>
  </si>
  <si>
    <t xml:space="preserve">  Change in Accounts Payable</t>
  </si>
  <si>
    <t>Cash from Operations</t>
  </si>
  <si>
    <t>Investing Activities</t>
  </si>
  <si>
    <t xml:space="preserve">  Capital Expenditures</t>
  </si>
  <si>
    <t>Cash from Investing</t>
  </si>
  <si>
    <t>Financing Activities</t>
  </si>
  <si>
    <t xml:space="preserve">  Debt Issuance / (Repayment)</t>
  </si>
  <si>
    <t xml:space="preserve">  Equity Issued / (Repaid)</t>
  </si>
  <si>
    <t>Cash from Financing</t>
  </si>
  <si>
    <t>Net Increase / (Decrease) in Cash</t>
  </si>
  <si>
    <t>Opening Cash Balance</t>
  </si>
  <si>
    <t>Closing Cash Balance</t>
  </si>
  <si>
    <t>SUPPORTING SCHEDULES  ($000s)</t>
  </si>
  <si>
    <t>Working Capital Schedule</t>
  </si>
  <si>
    <t xml:space="preserve">  Accounts Receivable</t>
  </si>
  <si>
    <t xml:space="preserve">  Inventory</t>
  </si>
  <si>
    <t xml:space="preserve">  Accounts Payable</t>
  </si>
  <si>
    <t>Net Working Capital</t>
  </si>
  <si>
    <t xml:space="preserve">  Change in NWC</t>
  </si>
  <si>
    <t>PP&amp;E &amp; Depreciation Schedule</t>
  </si>
  <si>
    <t xml:space="preserve">  Opening PP&amp;E</t>
  </si>
  <si>
    <t xml:space="preserve">  Plus: Capital Expenditures</t>
  </si>
  <si>
    <t xml:space="preserve">  Less: Depreciation</t>
  </si>
  <si>
    <t>Closing PP&amp;E</t>
  </si>
  <si>
    <t>Debt Schedule</t>
  </si>
  <si>
    <t xml:space="preserve">  Opening Debt</t>
  </si>
  <si>
    <t xml:space="preserve">  Issuance / (Repayment)</t>
  </si>
  <si>
    <t>Closing Debt</t>
  </si>
  <si>
    <t>Forecast Period</t>
  </si>
  <si>
    <t>Historical Results</t>
  </si>
  <si>
    <t>Assumptions</t>
  </si>
  <si>
    <t>Derived from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</si>
</sst>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#,##0;\(#,##0\);\-"/>
    <numFmt numFmtId="166" formatCode="0.0%"/>
  </numFmts>
  <fonts count="14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0"/>
      <name val="Consolas"/>
      <family val="3"/>
    </font>
    <font>
      <b/>
      <sz val="14"/>
      <color rgb="FFFFFFFF"/>
      <name val="Consolas"/>
      <family val="3"/>
    </font>
    <font>
      <sz val="11"/>
      <color theme="1"/>
      <name val="Consolas"/>
      <family val="3"/>
    </font>
    <font>
      <i/>
      <sz val="9"/>
      <color rgb="FF1A1A1A"/>
      <name val="Consolas"/>
      <family val="3"/>
    </font>
    <font>
      <b/>
      <sz val="10"/>
      <color rgb="FFFFFFFF"/>
      <name val="Consolas"/>
      <family val="3"/>
    </font>
    <font>
      <b/>
      <sz val="10"/>
      <name val="Consolas"/>
      <family val="3"/>
    </font>
    <font>
      <sz val="10"/>
      <color rgb="FF000000"/>
      <name val="Consolas"/>
      <family val="3"/>
    </font>
    <font>
      <b/>
      <sz val="10"/>
      <color rgb="FF000000"/>
      <name val="Consolas"/>
      <family val="3"/>
    </font>
    <font>
      <sz val="10"/>
      <color rgb="FF006400"/>
      <name val="Consolas"/>
      <family val="3"/>
    </font>
    <font>
      <sz val="10"/>
      <color rgb="FF0000FF"/>
      <name val="Consolas"/>
      <family val="3"/>
    </font>
    <font>
      <sz val="9"/>
      <color rgb="FF888888"/>
      <name val="Consolas"/>
      <family val="3"/>
    </font>
    <font>
      <b/>
      <sz val="9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6B7C45"/>
        <bgColor rgb="FF888888"/>
      </patternFill>
    </fill>
    <fill>
      <patternFill patternType="solid">
        <fgColor rgb="FFEDE8D5"/>
        <bgColor rgb="FFF0F5E8"/>
      </patternFill>
    </fill>
    <fill>
      <patternFill patternType="solid">
        <fgColor rgb="FFFFFFFF"/>
        <bgColor rgb="FFF0F5E8"/>
      </patternFill>
    </fill>
    <fill>
      <patternFill patternType="solid">
        <fgColor rgb="FFF8F7F2"/>
        <bgColor indexed="64"/>
      </patternFill>
    </fill>
    <fill>
      <patternFill patternType="solid">
        <fgColor rgb="FFF2F5EC"/>
        <bgColor indexed="64"/>
      </patternFill>
    </fill>
    <fill>
      <patternFill patternType="solid">
        <fgColor rgb="FFC5D19A"/>
        <bgColor rgb="FFF0F5E8"/>
      </patternFill>
    </fill>
    <fill>
      <patternFill patternType="solid">
        <fgColor rgb="FFD4C9A0"/>
        <bgColor rgb="FFF0F5E8"/>
      </patternFill>
    </fill>
    <fill>
      <patternFill patternType="solid">
        <fgColor rgb="FFFAF8F2"/>
        <bgColor indexed="64"/>
      </patternFill>
    </fill>
    <fill>
      <patternFill patternType="solid">
        <fgColor rgb="FFEDE8D5"/>
        <bgColor rgb="FFC5D19A"/>
      </patternFill>
    </fill>
    <fill>
      <patternFill patternType="solid">
        <fgColor rgb="FFEDE8D5"/>
        <bgColor indexed="64"/>
      </patternFill>
    </fill>
  </fills>
  <borders count="3">
    <border>
      <left/>
      <right/>
      <top/>
      <bottom/>
      <diagonal/>
    </border>
    <border>
      <left style="thin">
        <color rgb="FFE0DDD4"/>
      </left>
      <right style="thin">
        <color rgb="FFE0DDD4"/>
      </right>
      <top style="thin">
        <color rgb="FFE0DDD4"/>
      </top>
      <bottom style="thin">
        <color rgb="FFE0DDD4"/>
      </bottom>
      <diagonal/>
    </border>
    <border>
      <left style="thin">
        <color rgb="FFE0DDD4"/>
      </left>
      <right style="thin">
        <color rgb="FFE0DDD4"/>
      </right>
      <top/>
      <bottom style="thin">
        <color rgb="FFE0DDD4"/>
      </bottom>
      <diagonal/>
    </border>
  </borders>
  <cellStyleXfs count="1">
    <xf numFmtId="0" fontId="0" fillId="0" borderId="0"/>
  </cellStyleXfs>
  <cellXfs count="47">
    <xf numFmtId="0" fontId="0" fillId="0" borderId="0" xfId="0"/>
    <xf numFmtId="165" fontId="2" fillId="0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4" fillId="0" borderId="0" xfId="0" applyFont="1"/>
    <xf numFmtId="0" fontId="5" fillId="3" borderId="0" xfId="0" applyFont="1" applyFill="1" applyAlignment="1">
      <alignment horizontal="left" vertical="center" indent="2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/>
    </xf>
    <xf numFmtId="0" fontId="7" fillId="10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9" fillId="5" borderId="1" xfId="0" applyFont="1" applyFill="1" applyBorder="1" applyAlignment="1">
      <alignment horizontal="left" vertical="center" indent="1"/>
    </xf>
    <xf numFmtId="165" fontId="2" fillId="9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indent="1"/>
    </xf>
    <xf numFmtId="165" fontId="10" fillId="0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165" fontId="2" fillId="6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indent="1"/>
    </xf>
    <xf numFmtId="165" fontId="2" fillId="0" borderId="2" xfId="0" applyNumberFormat="1" applyFont="1" applyFill="1" applyBorder="1" applyAlignment="1">
      <alignment horizontal="center" vertical="center"/>
    </xf>
    <xf numFmtId="165" fontId="10" fillId="0" borderId="2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6" fillId="2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9" borderId="1" xfId="0" applyFont="1" applyFill="1" applyBorder="1" applyAlignment="1">
      <alignment horizontal="left" vertical="center" indent="1"/>
    </xf>
    <xf numFmtId="0" fontId="9" fillId="11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indent="1"/>
    </xf>
    <xf numFmtId="0" fontId="13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6B7C45"/>
      <rgbColor rgb="FF800080"/>
      <rgbColor rgb="FF008080"/>
      <rgbColor rgb="FFD4C9A0"/>
      <rgbColor rgb="FF888888"/>
      <rgbColor rgb="FF9999FF"/>
      <rgbColor rgb="FF993366"/>
      <rgbColor rgb="FFF0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8D5"/>
      <rgbColor rgb="FFFFFF99"/>
      <rgbColor rgb="FF99CCFF"/>
      <rgbColor rgb="FFFF99CC"/>
      <rgbColor rgb="FFCC99FF"/>
      <rgbColor rgb="FFC5D19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400"/>
      <color rgb="FFEDE8D5"/>
      <color rgb="FFFAF8F2"/>
      <color rgb="FF6B7C45"/>
      <color rgb="FFD4C9A0"/>
      <color rgb="FFC5D19A"/>
      <color rgb="FFE0DDD4"/>
      <color rgb="FFF2F5EC"/>
      <color rgb="FFF8F7F2"/>
      <color rgb="FFF3F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showGridLines="0" tabSelected="1" zoomScale="85" zoomScaleNormal="85" workbookViewId="0">
      <selection activeCell="J8" sqref="J8"/>
    </sheetView>
  </sheetViews>
  <sheetFormatPr defaultColWidth="8.6640625" defaultRowHeight="14.4" x14ac:dyDescent="0.3"/>
  <cols>
    <col min="1" max="1" width="2" style="3" customWidth="1"/>
    <col min="2" max="2" width="40" style="3" customWidth="1"/>
    <col min="3" max="3" width="36.109375" style="3" bestFit="1" customWidth="1"/>
    <col min="4" max="13" width="11" style="3" customWidth="1"/>
    <col min="14" max="14" width="2.21875" style="3" customWidth="1"/>
    <col min="15" max="16384" width="8.6640625" style="3"/>
  </cols>
  <sheetData>
    <row r="1" spans="1:14" ht="30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3.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2" customHeight="1" x14ac:dyDescent="0.3"/>
    <row r="4" spans="1:14" ht="19.5" customHeight="1" x14ac:dyDescent="0.3">
      <c r="B4" s="27"/>
      <c r="C4" s="5"/>
      <c r="D4" s="6" t="s">
        <v>139</v>
      </c>
      <c r="E4" s="6"/>
      <c r="F4" s="6"/>
      <c r="G4" s="6"/>
      <c r="H4" s="6"/>
      <c r="I4" s="6" t="s">
        <v>138</v>
      </c>
      <c r="J4" s="6"/>
      <c r="K4" s="6"/>
      <c r="L4" s="6"/>
      <c r="M4" s="6"/>
    </row>
    <row r="5" spans="1:14" ht="15.6" customHeight="1" x14ac:dyDescent="0.3">
      <c r="B5" s="7" t="s">
        <v>140</v>
      </c>
      <c r="C5" s="7" t="s">
        <v>2</v>
      </c>
      <c r="D5" s="8" t="s">
        <v>54</v>
      </c>
      <c r="E5" s="8" t="s">
        <v>55</v>
      </c>
      <c r="F5" s="8" t="s">
        <v>56</v>
      </c>
      <c r="G5" s="8" t="s">
        <v>57</v>
      </c>
      <c r="H5" s="8" t="s">
        <v>58</v>
      </c>
      <c r="I5" s="9" t="s">
        <v>59</v>
      </c>
      <c r="J5" s="9" t="s">
        <v>60</v>
      </c>
      <c r="K5" s="9" t="s">
        <v>61</v>
      </c>
      <c r="L5" s="9" t="s">
        <v>62</v>
      </c>
      <c r="M5" s="9" t="s">
        <v>63</v>
      </c>
    </row>
    <row r="6" spans="1:14" ht="18" customHeight="1" x14ac:dyDescent="0.3">
      <c r="B6" s="10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4" ht="18" customHeight="1" x14ac:dyDescent="0.3">
      <c r="B7" s="16" t="s">
        <v>4</v>
      </c>
      <c r="C7" s="28" t="s">
        <v>5</v>
      </c>
      <c r="D7" s="29"/>
      <c r="E7" s="30">
        <v>0.158</v>
      </c>
      <c r="F7" s="30">
        <v>0.112</v>
      </c>
      <c r="G7" s="30">
        <v>8.4000000000000005E-2</v>
      </c>
      <c r="H7" s="30">
        <v>5.8999999999999997E-2</v>
      </c>
      <c r="I7" s="31">
        <v>0.1</v>
      </c>
      <c r="J7" s="31">
        <v>0.1</v>
      </c>
      <c r="K7" s="31">
        <v>0.1</v>
      </c>
      <c r="L7" s="31">
        <v>0.08</v>
      </c>
      <c r="M7" s="31">
        <v>0.08</v>
      </c>
    </row>
    <row r="8" spans="1:14" ht="18" customHeight="1" x14ac:dyDescent="0.3">
      <c r="B8" s="16" t="s">
        <v>6</v>
      </c>
      <c r="C8" s="28" t="s">
        <v>7</v>
      </c>
      <c r="D8" s="30">
        <v>0.22</v>
      </c>
      <c r="E8" s="30">
        <v>0.25</v>
      </c>
      <c r="F8" s="30">
        <v>0.28000000000000003</v>
      </c>
      <c r="G8" s="30">
        <v>0.3</v>
      </c>
      <c r="H8" s="30">
        <v>0.32</v>
      </c>
      <c r="I8" s="31">
        <v>0.34</v>
      </c>
      <c r="J8" s="31">
        <v>0.36</v>
      </c>
      <c r="K8" s="31">
        <v>0.38</v>
      </c>
      <c r="L8" s="31">
        <v>0.4</v>
      </c>
      <c r="M8" s="31">
        <v>0.42</v>
      </c>
    </row>
    <row r="9" spans="1:14" ht="18" customHeight="1" x14ac:dyDescent="0.3">
      <c r="B9" s="16" t="s">
        <v>8</v>
      </c>
      <c r="C9" s="28" t="s">
        <v>9</v>
      </c>
      <c r="D9" s="30">
        <v>0.78</v>
      </c>
      <c r="E9" s="30">
        <v>0.75</v>
      </c>
      <c r="F9" s="30">
        <v>0.72</v>
      </c>
      <c r="G9" s="30">
        <v>0.7</v>
      </c>
      <c r="H9" s="30">
        <v>0.68</v>
      </c>
      <c r="I9" s="31">
        <v>0.66</v>
      </c>
      <c r="J9" s="31">
        <v>0.64</v>
      </c>
      <c r="K9" s="31">
        <v>0.62</v>
      </c>
      <c r="L9" s="31">
        <v>0.6</v>
      </c>
      <c r="M9" s="31">
        <v>0.57999999999999996</v>
      </c>
    </row>
    <row r="10" spans="1:14" ht="18" customHeight="1" x14ac:dyDescent="0.3">
      <c r="B10" s="10" t="s">
        <v>10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4" ht="18" customHeight="1" x14ac:dyDescent="0.3">
      <c r="B11" s="16" t="s">
        <v>11</v>
      </c>
      <c r="C11" s="28" t="s">
        <v>12</v>
      </c>
      <c r="D11" s="30">
        <v>0.38300000000000001</v>
      </c>
      <c r="E11" s="30">
        <v>0.40699999999999997</v>
      </c>
      <c r="F11" s="30">
        <v>0.374</v>
      </c>
      <c r="G11" s="30">
        <v>0.37</v>
      </c>
      <c r="H11" s="30">
        <v>0.376</v>
      </c>
      <c r="I11" s="31">
        <v>0.37</v>
      </c>
      <c r="J11" s="31">
        <v>0.37</v>
      </c>
      <c r="K11" s="31">
        <v>0.37</v>
      </c>
      <c r="L11" s="31">
        <v>0.36</v>
      </c>
      <c r="M11" s="31">
        <v>0.36</v>
      </c>
    </row>
    <row r="12" spans="1:14" ht="18" customHeight="1" x14ac:dyDescent="0.3">
      <c r="B12" s="16" t="s">
        <v>13</v>
      </c>
      <c r="C12" s="28" t="s">
        <v>141</v>
      </c>
      <c r="D12" s="30">
        <f>'Three Statement Model'!D13</f>
        <v>0.61744782220827987</v>
      </c>
      <c r="E12" s="30">
        <f>'Three Statement Model'!E13</f>
        <v>0.59348271598665381</v>
      </c>
      <c r="F12" s="30">
        <f>'Three Statement Model'!F13</f>
        <v>0.62600022840610603</v>
      </c>
      <c r="G12" s="30">
        <f>'Three Statement Model'!G13</f>
        <v>0.63008549890755294</v>
      </c>
      <c r="H12" s="30">
        <f>'Three Statement Model'!H13</f>
        <v>0.62386915342371263</v>
      </c>
      <c r="I12" s="31">
        <f>'Three Statement Model'!I13</f>
        <v>0.63</v>
      </c>
      <c r="J12" s="31">
        <f>'Three Statement Model'!J13</f>
        <v>0.63</v>
      </c>
      <c r="K12" s="31">
        <f>'Three Statement Model'!K13</f>
        <v>0.63</v>
      </c>
      <c r="L12" s="31">
        <f>'Three Statement Model'!L13</f>
        <v>0.64</v>
      </c>
      <c r="M12" s="31">
        <f>'Three Statement Model'!M13</f>
        <v>0.64000000000000012</v>
      </c>
    </row>
    <row r="14" spans="1:14" ht="18" customHeight="1" x14ac:dyDescent="0.3">
      <c r="B14" s="10" t="s">
        <v>14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4" s="23" customFormat="1" ht="18" customHeight="1" x14ac:dyDescent="0.3">
      <c r="B15" s="16" t="s">
        <v>15</v>
      </c>
      <c r="C15" s="28" t="s">
        <v>16</v>
      </c>
      <c r="D15" s="30">
        <v>0.13</v>
      </c>
      <c r="E15" s="30">
        <v>9.6000000000000002E-2</v>
      </c>
      <c r="F15" s="30">
        <v>9.0999999999999998E-2</v>
      </c>
      <c r="G15" s="30">
        <v>8.1000000000000003E-2</v>
      </c>
      <c r="H15" s="30">
        <v>8.4000000000000005E-2</v>
      </c>
      <c r="I15" s="31">
        <v>8.5000000000000006E-2</v>
      </c>
      <c r="J15" s="31">
        <v>8.5000000000000006E-2</v>
      </c>
      <c r="K15" s="31">
        <v>8.5000000000000006E-2</v>
      </c>
      <c r="L15" s="31">
        <v>0.08</v>
      </c>
      <c r="M15" s="31">
        <v>0.08</v>
      </c>
    </row>
    <row r="16" spans="1:14" s="23" customFormat="1" ht="18" customHeight="1" x14ac:dyDescent="0.3">
      <c r="B16" s="16" t="s">
        <v>17</v>
      </c>
      <c r="C16" s="28" t="s">
        <v>18</v>
      </c>
      <c r="D16" s="30">
        <v>0.04</v>
      </c>
      <c r="E16" s="30">
        <v>4.2000000000000003E-2</v>
      </c>
      <c r="F16" s="30">
        <v>4.2999999999999997E-2</v>
      </c>
      <c r="G16" s="30">
        <v>4.4999999999999998E-2</v>
      </c>
      <c r="H16" s="30">
        <v>4.5999999999999999E-2</v>
      </c>
      <c r="I16" s="31">
        <v>4.7E-2</v>
      </c>
      <c r="J16" s="31">
        <v>4.7E-2</v>
      </c>
      <c r="K16" s="31">
        <v>4.5999999999999999E-2</v>
      </c>
      <c r="L16" s="31">
        <v>4.4999999999999998E-2</v>
      </c>
      <c r="M16" s="31">
        <v>4.4999999999999998E-2</v>
      </c>
    </row>
    <row r="17" spans="2:13" s="23" customFormat="1" ht="18" customHeight="1" x14ac:dyDescent="0.3">
      <c r="B17" s="16" t="s">
        <v>19</v>
      </c>
      <c r="C17" s="28" t="s">
        <v>20</v>
      </c>
      <c r="D17" s="30">
        <v>3.5000000000000003E-2</v>
      </c>
      <c r="E17" s="30">
        <v>3.7999999999999999E-2</v>
      </c>
      <c r="F17" s="30">
        <v>0.04</v>
      </c>
      <c r="G17" s="30">
        <v>3.7999999999999999E-2</v>
      </c>
      <c r="H17" s="30">
        <v>3.6999999999999998E-2</v>
      </c>
      <c r="I17" s="31">
        <v>0.04</v>
      </c>
      <c r="J17" s="31">
        <v>0.04</v>
      </c>
      <c r="K17" s="31">
        <v>3.7999999999999999E-2</v>
      </c>
      <c r="L17" s="31">
        <v>3.7999999999999999E-2</v>
      </c>
      <c r="M17" s="31">
        <v>3.7999999999999999E-2</v>
      </c>
    </row>
    <row r="18" spans="2:13" s="23" customFormat="1" ht="18" customHeight="1" x14ac:dyDescent="0.3">
      <c r="B18" s="16" t="s">
        <v>21</v>
      </c>
      <c r="C18" s="28" t="s">
        <v>22</v>
      </c>
      <c r="D18" s="12">
        <v>10963</v>
      </c>
      <c r="E18" s="12">
        <v>10125</v>
      </c>
      <c r="F18" s="12">
        <v>10087</v>
      </c>
      <c r="G18" s="12">
        <v>11020</v>
      </c>
      <c r="H18" s="12">
        <v>11412</v>
      </c>
      <c r="I18" s="32">
        <v>12000</v>
      </c>
      <c r="J18" s="32">
        <v>12000</v>
      </c>
      <c r="K18" s="32">
        <v>13000</v>
      </c>
      <c r="L18" s="32">
        <v>13000</v>
      </c>
      <c r="M18" s="32">
        <v>14000</v>
      </c>
    </row>
    <row r="19" spans="2:13" s="23" customFormat="1" ht="18" customHeight="1" x14ac:dyDescent="0.3">
      <c r="B19" s="16" t="s">
        <v>23</v>
      </c>
      <c r="C19" s="28" t="s">
        <v>24</v>
      </c>
      <c r="D19" s="30">
        <v>0.03</v>
      </c>
      <c r="E19" s="30">
        <v>2.5000000000000001E-2</v>
      </c>
      <c r="F19" s="30">
        <v>2.4E-2</v>
      </c>
      <c r="G19" s="30">
        <v>2.1999999999999999E-2</v>
      </c>
      <c r="H19" s="30">
        <v>2.3E-2</v>
      </c>
      <c r="I19" s="31">
        <v>2.3E-2</v>
      </c>
      <c r="J19" s="31">
        <v>2.3E-2</v>
      </c>
      <c r="K19" s="31">
        <v>2.3E-2</v>
      </c>
      <c r="L19" s="31">
        <v>2.1999999999999999E-2</v>
      </c>
      <c r="M19" s="31">
        <v>2.1999999999999999E-2</v>
      </c>
    </row>
    <row r="21" spans="2:13" ht="18" customHeight="1" x14ac:dyDescent="0.3">
      <c r="B21" s="10" t="s">
        <v>25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2:13" ht="18" customHeight="1" x14ac:dyDescent="0.3">
      <c r="B22" s="16" t="s">
        <v>26</v>
      </c>
      <c r="C22" s="28" t="s">
        <v>27</v>
      </c>
      <c r="D22" s="30">
        <v>0.42899999999999999</v>
      </c>
      <c r="E22" s="30">
        <v>0.42899999999999999</v>
      </c>
      <c r="F22" s="30">
        <v>0.42899999999999999</v>
      </c>
      <c r="G22" s="30">
        <v>0.42899999999999999</v>
      </c>
      <c r="H22" s="30">
        <v>0.42899999999999999</v>
      </c>
      <c r="I22" s="31">
        <v>0.35</v>
      </c>
      <c r="J22" s="31">
        <v>0.35</v>
      </c>
      <c r="K22" s="31">
        <v>0.35</v>
      </c>
      <c r="L22" s="31">
        <v>0.35</v>
      </c>
      <c r="M22" s="31">
        <v>0.35</v>
      </c>
    </row>
    <row r="23" spans="2:13" ht="18" customHeight="1" x14ac:dyDescent="0.3">
      <c r="B23" s="16" t="s">
        <v>28</v>
      </c>
      <c r="C23" s="28" t="s">
        <v>29</v>
      </c>
      <c r="D23" s="12">
        <v>15000</v>
      </c>
      <c r="E23" s="12">
        <v>15000</v>
      </c>
      <c r="F23" s="12">
        <v>15000</v>
      </c>
      <c r="G23" s="12">
        <v>15000</v>
      </c>
      <c r="H23" s="12">
        <v>15000</v>
      </c>
      <c r="I23" s="32">
        <v>15000</v>
      </c>
      <c r="J23" s="32">
        <v>16000</v>
      </c>
      <c r="K23" s="32">
        <v>16000</v>
      </c>
      <c r="L23" s="32">
        <v>17000</v>
      </c>
      <c r="M23" s="32">
        <v>17000</v>
      </c>
    </row>
    <row r="25" spans="2:13" ht="18" customHeight="1" x14ac:dyDescent="0.3">
      <c r="B25" s="10" t="s">
        <v>30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2:13" ht="18" customHeight="1" x14ac:dyDescent="0.3">
      <c r="B26" s="16" t="s">
        <v>31</v>
      </c>
      <c r="C26" s="28" t="s">
        <v>32</v>
      </c>
      <c r="D26" s="12">
        <v>18</v>
      </c>
      <c r="E26" s="12">
        <v>18</v>
      </c>
      <c r="F26" s="12">
        <v>18</v>
      </c>
      <c r="G26" s="12">
        <v>18</v>
      </c>
      <c r="H26" s="12">
        <v>18</v>
      </c>
      <c r="I26" s="32">
        <v>18</v>
      </c>
      <c r="J26" s="32">
        <v>18</v>
      </c>
      <c r="K26" s="32">
        <v>18</v>
      </c>
      <c r="L26" s="32">
        <v>18</v>
      </c>
      <c r="M26" s="32">
        <v>18</v>
      </c>
    </row>
    <row r="27" spans="2:13" ht="18" customHeight="1" x14ac:dyDescent="0.3">
      <c r="B27" s="16" t="s">
        <v>33</v>
      </c>
      <c r="C27" s="28" t="s">
        <v>34</v>
      </c>
      <c r="D27" s="12">
        <v>73</v>
      </c>
      <c r="E27" s="12">
        <v>73</v>
      </c>
      <c r="F27" s="12">
        <v>73</v>
      </c>
      <c r="G27" s="12">
        <v>73</v>
      </c>
      <c r="H27" s="12">
        <v>73</v>
      </c>
      <c r="I27" s="32">
        <v>80</v>
      </c>
      <c r="J27" s="32">
        <v>85</v>
      </c>
      <c r="K27" s="32">
        <v>85</v>
      </c>
      <c r="L27" s="32">
        <v>85</v>
      </c>
      <c r="M27" s="32">
        <v>85</v>
      </c>
    </row>
    <row r="28" spans="2:13" ht="18" customHeight="1" x14ac:dyDescent="0.3">
      <c r="B28" s="16" t="s">
        <v>35</v>
      </c>
      <c r="C28" s="28" t="s">
        <v>36</v>
      </c>
      <c r="D28" s="12">
        <v>36</v>
      </c>
      <c r="E28" s="12">
        <v>36</v>
      </c>
      <c r="F28" s="12">
        <v>36</v>
      </c>
      <c r="G28" s="12">
        <v>37</v>
      </c>
      <c r="H28" s="12">
        <v>36</v>
      </c>
      <c r="I28" s="32">
        <v>38</v>
      </c>
      <c r="J28" s="32">
        <v>38</v>
      </c>
      <c r="K28" s="32">
        <v>38</v>
      </c>
      <c r="L28" s="32">
        <v>38</v>
      </c>
      <c r="M28" s="32">
        <v>38</v>
      </c>
    </row>
    <row r="30" spans="2:13" ht="18" customHeight="1" x14ac:dyDescent="0.3">
      <c r="B30" s="10" t="s">
        <v>37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ht="18" customHeight="1" x14ac:dyDescent="0.3">
      <c r="B31" s="16" t="s">
        <v>38</v>
      </c>
      <c r="C31" s="28" t="s">
        <v>39</v>
      </c>
      <c r="D31" s="30">
        <v>0.05</v>
      </c>
      <c r="E31" s="30">
        <v>0.05</v>
      </c>
      <c r="F31" s="30">
        <v>0.05</v>
      </c>
      <c r="G31" s="30">
        <v>0.05</v>
      </c>
      <c r="H31" s="30">
        <v>0.05</v>
      </c>
      <c r="I31" s="31">
        <v>7.0000000000000007E-2</v>
      </c>
      <c r="J31" s="31">
        <v>7.0000000000000007E-2</v>
      </c>
      <c r="K31" s="31">
        <v>7.0000000000000007E-2</v>
      </c>
      <c r="L31" s="31">
        <v>7.0000000000000007E-2</v>
      </c>
      <c r="M31" s="31">
        <v>7.0000000000000007E-2</v>
      </c>
    </row>
    <row r="32" spans="2:13" ht="18" customHeight="1" x14ac:dyDescent="0.3">
      <c r="B32" s="16" t="s">
        <v>40</v>
      </c>
      <c r="C32" s="28" t="s">
        <v>41</v>
      </c>
      <c r="D32" s="30">
        <v>0.31</v>
      </c>
      <c r="E32" s="30">
        <v>0.29199999999999998</v>
      </c>
      <c r="F32" s="30">
        <v>0.28699999999999998</v>
      </c>
      <c r="G32" s="30">
        <v>0.28999999999999998</v>
      </c>
      <c r="H32" s="30">
        <v>0.29099999999999998</v>
      </c>
      <c r="I32" s="31">
        <v>0.28000000000000003</v>
      </c>
      <c r="J32" s="31">
        <v>0.28000000000000003</v>
      </c>
      <c r="K32" s="31">
        <v>0.28000000000000003</v>
      </c>
      <c r="L32" s="31">
        <v>0.28000000000000003</v>
      </c>
      <c r="M32" s="31">
        <v>0.28000000000000003</v>
      </c>
    </row>
    <row r="33" spans="2:13" ht="18" customHeight="1" x14ac:dyDescent="0.3">
      <c r="B33" s="16" t="s">
        <v>42</v>
      </c>
      <c r="C33" s="28" t="s">
        <v>43</v>
      </c>
      <c r="D33" s="12">
        <v>0</v>
      </c>
      <c r="E33" s="12">
        <v>0</v>
      </c>
      <c r="F33" s="12">
        <v>-20000</v>
      </c>
      <c r="G33" s="12">
        <v>0</v>
      </c>
      <c r="H33" s="12">
        <v>0</v>
      </c>
      <c r="I33" s="32">
        <v>0</v>
      </c>
      <c r="J33" s="32">
        <v>0</v>
      </c>
      <c r="K33" s="32">
        <v>0</v>
      </c>
      <c r="L33" s="32">
        <v>-10000</v>
      </c>
      <c r="M33" s="32">
        <v>0</v>
      </c>
    </row>
    <row r="34" spans="2:13" ht="18" customHeight="1" x14ac:dyDescent="0.3">
      <c r="B34" s="16" t="s">
        <v>44</v>
      </c>
      <c r="C34" s="28" t="s">
        <v>45</v>
      </c>
      <c r="D34" s="12">
        <v>70000</v>
      </c>
      <c r="E34" s="12">
        <v>0</v>
      </c>
      <c r="F34" s="12">
        <v>0</v>
      </c>
      <c r="G34" s="12">
        <v>0</v>
      </c>
      <c r="H34" s="1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</row>
    <row r="35" spans="2:13" ht="18" customHeight="1" x14ac:dyDescent="0.3">
      <c r="B35" s="16" t="s">
        <v>46</v>
      </c>
      <c r="C35" s="28"/>
      <c r="D35" s="12">
        <v>365</v>
      </c>
      <c r="E35" s="12">
        <v>365</v>
      </c>
      <c r="F35" s="12">
        <v>365</v>
      </c>
      <c r="G35" s="12">
        <v>365</v>
      </c>
      <c r="H35" s="12">
        <v>365</v>
      </c>
      <c r="I35" s="32">
        <v>365</v>
      </c>
      <c r="J35" s="32">
        <v>365</v>
      </c>
      <c r="K35" s="32">
        <v>365</v>
      </c>
      <c r="L35" s="32">
        <v>365</v>
      </c>
      <c r="M35" s="32">
        <v>365</v>
      </c>
    </row>
    <row r="38" spans="2:13" ht="15" customHeight="1" x14ac:dyDescent="0.3">
      <c r="B38" s="10" t="s">
        <v>47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ht="15" customHeight="1" x14ac:dyDescent="0.3">
      <c r="B39" s="33" t="s">
        <v>48</v>
      </c>
    </row>
    <row r="40" spans="2:13" ht="15" customHeight="1" x14ac:dyDescent="0.3">
      <c r="B40" s="34" t="s">
        <v>49</v>
      </c>
    </row>
    <row r="41" spans="2:13" ht="15" customHeight="1" x14ac:dyDescent="0.3">
      <c r="B41" s="35" t="s">
        <v>50</v>
      </c>
    </row>
  </sheetData>
  <mergeCells count="11">
    <mergeCell ref="B38:M38"/>
    <mergeCell ref="B10:M10"/>
    <mergeCell ref="B14:M14"/>
    <mergeCell ref="B21:M21"/>
    <mergeCell ref="B25:M25"/>
    <mergeCell ref="B30:M30"/>
    <mergeCell ref="A1:N1"/>
    <mergeCell ref="A2:N2"/>
    <mergeCell ref="D4:H4"/>
    <mergeCell ref="I4:M4"/>
    <mergeCell ref="B6:M6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showGridLines="0" zoomScale="85" zoomScaleNormal="85" workbookViewId="0">
      <pane ySplit="5" topLeftCell="A6" activePane="bottomLeft" state="frozen"/>
      <selection pane="bottomLeft" activeCell="I12" sqref="I12"/>
    </sheetView>
  </sheetViews>
  <sheetFormatPr defaultColWidth="8.6640625" defaultRowHeight="14.4" x14ac:dyDescent="0.3"/>
  <cols>
    <col min="1" max="2" width="1" style="3" customWidth="1"/>
    <col min="3" max="3" width="38" style="3" customWidth="1"/>
    <col min="4" max="13" width="13" style="3" customWidth="1"/>
    <col min="14" max="16384" width="8.6640625" style="3"/>
  </cols>
  <sheetData>
    <row r="1" spans="1:13" ht="30" customHeight="1" x14ac:dyDescent="0.3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3.5" customHeight="1" x14ac:dyDescent="0.3">
      <c r="A2" s="4" t="s">
        <v>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3">
      <c r="C3" s="45" t="s">
        <v>53</v>
      </c>
      <c r="D3" s="46" t="str">
        <f t="shared" ref="D3:M3" si="0">IF(ABS(D42-D55)&lt;1,"OK","ERROR")</f>
        <v>OK</v>
      </c>
      <c r="E3" s="46" t="str">
        <f t="shared" si="0"/>
        <v>OK</v>
      </c>
      <c r="F3" s="46" t="str">
        <f t="shared" si="0"/>
        <v>OK</v>
      </c>
      <c r="G3" s="46" t="str">
        <f t="shared" si="0"/>
        <v>OK</v>
      </c>
      <c r="H3" s="46" t="str">
        <f t="shared" si="0"/>
        <v>OK</v>
      </c>
      <c r="I3" s="46" t="str">
        <f t="shared" si="0"/>
        <v>OK</v>
      </c>
      <c r="J3" s="46" t="str">
        <f t="shared" si="0"/>
        <v>OK</v>
      </c>
      <c r="K3" s="46" t="str">
        <f t="shared" si="0"/>
        <v>OK</v>
      </c>
      <c r="L3" s="46" t="str">
        <f t="shared" si="0"/>
        <v>OK</v>
      </c>
      <c r="M3" s="46" t="str">
        <f t="shared" si="0"/>
        <v>OK</v>
      </c>
    </row>
    <row r="4" spans="1:13" ht="18" customHeight="1" x14ac:dyDescent="0.3">
      <c r="C4" s="5"/>
      <c r="D4" s="6" t="s">
        <v>139</v>
      </c>
      <c r="E4" s="6"/>
      <c r="F4" s="6"/>
      <c r="G4" s="6"/>
      <c r="H4" s="6"/>
      <c r="I4" s="6" t="s">
        <v>138</v>
      </c>
      <c r="J4" s="6"/>
      <c r="K4" s="6"/>
      <c r="L4" s="6"/>
      <c r="M4" s="6"/>
    </row>
    <row r="5" spans="1:13" ht="18" customHeight="1" x14ac:dyDescent="0.3">
      <c r="C5" s="7"/>
      <c r="D5" s="39" t="s">
        <v>54</v>
      </c>
      <c r="E5" s="39" t="s">
        <v>55</v>
      </c>
      <c r="F5" s="39" t="s">
        <v>56</v>
      </c>
      <c r="G5" s="39" t="s">
        <v>57</v>
      </c>
      <c r="H5" s="39" t="s">
        <v>58</v>
      </c>
      <c r="I5" s="40" t="s">
        <v>59</v>
      </c>
      <c r="J5" s="40" t="s">
        <v>60</v>
      </c>
      <c r="K5" s="40" t="s">
        <v>61</v>
      </c>
      <c r="L5" s="40" t="s">
        <v>62</v>
      </c>
      <c r="M5" s="40" t="s">
        <v>63</v>
      </c>
    </row>
    <row r="7" spans="1:13" x14ac:dyDescent="0.3">
      <c r="C7" s="10" t="s">
        <v>64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C8" s="36" t="s">
        <v>65</v>
      </c>
      <c r="D8" s="12">
        <v>102007</v>
      </c>
      <c r="E8" s="12">
        <v>118086</v>
      </c>
      <c r="F8" s="12">
        <v>131345</v>
      </c>
      <c r="G8" s="12">
        <v>142341</v>
      </c>
      <c r="H8" s="12">
        <v>150772</v>
      </c>
      <c r="I8" s="13">
        <f>H8*(1+Assumptions!I7)</f>
        <v>165849.20000000001</v>
      </c>
      <c r="J8" s="13">
        <f>I8*(1+Assumptions!J7)</f>
        <v>182434.12000000002</v>
      </c>
      <c r="K8" s="13">
        <f>J8*(1+Assumptions!K7)</f>
        <v>200677.53200000004</v>
      </c>
      <c r="L8" s="13">
        <f>K8*(1+Assumptions!L7)</f>
        <v>216731.73456000004</v>
      </c>
      <c r="M8" s="13">
        <f>L8*(1+Assumptions!M7)</f>
        <v>234070.27332480007</v>
      </c>
    </row>
    <row r="9" spans="1:13" x14ac:dyDescent="0.3">
      <c r="C9" s="14" t="s">
        <v>66</v>
      </c>
      <c r="D9" s="1">
        <f>D8*Assumptions!D8</f>
        <v>22441.54</v>
      </c>
      <c r="E9" s="1">
        <f>E8*Assumptions!E8</f>
        <v>29521.5</v>
      </c>
      <c r="F9" s="1">
        <f>F8*Assumptions!F8</f>
        <v>36776.600000000006</v>
      </c>
      <c r="G9" s="1">
        <f>G8*Assumptions!G8</f>
        <v>42702.299999999996</v>
      </c>
      <c r="H9" s="1">
        <f>H8*Assumptions!H8</f>
        <v>48247.040000000001</v>
      </c>
      <c r="I9" s="15">
        <f>I8*Assumptions!I8</f>
        <v>56388.72800000001</v>
      </c>
      <c r="J9" s="15">
        <f>J8*Assumptions!J8</f>
        <v>65676.283200000005</v>
      </c>
      <c r="K9" s="15">
        <f>K8*Assumptions!K8</f>
        <v>76257.46216000001</v>
      </c>
      <c r="L9" s="15">
        <f>L8*Assumptions!L8</f>
        <v>86692.693824000016</v>
      </c>
      <c r="M9" s="15">
        <f>M8*Assumptions!M8</f>
        <v>98309.514796416028</v>
      </c>
    </row>
    <row r="10" spans="1:13" ht="15" customHeight="1" x14ac:dyDescent="0.3">
      <c r="C10" s="16" t="s">
        <v>67</v>
      </c>
      <c r="D10" s="12">
        <f t="shared" ref="D10:M10" si="1">D8-D9</f>
        <v>79565.459999999992</v>
      </c>
      <c r="E10" s="12">
        <f t="shared" si="1"/>
        <v>88564.5</v>
      </c>
      <c r="F10" s="12">
        <f t="shared" si="1"/>
        <v>94568.4</v>
      </c>
      <c r="G10" s="12">
        <f t="shared" si="1"/>
        <v>99638.700000000012</v>
      </c>
      <c r="H10" s="12">
        <f t="shared" si="1"/>
        <v>102524.95999999999</v>
      </c>
      <c r="I10" s="17">
        <f t="shared" si="1"/>
        <v>109460.47200000001</v>
      </c>
      <c r="J10" s="17">
        <f t="shared" si="1"/>
        <v>116757.83680000002</v>
      </c>
      <c r="K10" s="17">
        <f t="shared" si="1"/>
        <v>124420.06984000003</v>
      </c>
      <c r="L10" s="17">
        <f t="shared" si="1"/>
        <v>130039.04073600002</v>
      </c>
      <c r="M10" s="17">
        <f t="shared" si="1"/>
        <v>135760.75852838403</v>
      </c>
    </row>
    <row r="11" spans="1:13" x14ac:dyDescent="0.3">
      <c r="C11" s="18" t="s">
        <v>68</v>
      </c>
      <c r="D11" s="19">
        <v>39023</v>
      </c>
      <c r="E11" s="19">
        <v>48004</v>
      </c>
      <c r="F11" s="19">
        <v>49123</v>
      </c>
      <c r="G11" s="19">
        <v>52654</v>
      </c>
      <c r="H11" s="19">
        <v>56710</v>
      </c>
      <c r="I11" s="20">
        <f>I8*Assumptions!I11</f>
        <v>61364.204000000005</v>
      </c>
      <c r="J11" s="20">
        <f>J8*Assumptions!J11</f>
        <v>67500.624400000015</v>
      </c>
      <c r="K11" s="20">
        <f>K8*Assumptions!K11</f>
        <v>74250.686840000009</v>
      </c>
      <c r="L11" s="20">
        <f>L8*Assumptions!L11</f>
        <v>78023.424441600015</v>
      </c>
      <c r="M11" s="20">
        <f>M8*Assumptions!M11</f>
        <v>84265.298396928018</v>
      </c>
    </row>
    <row r="12" spans="1:13" x14ac:dyDescent="0.3">
      <c r="C12" s="37" t="s">
        <v>69</v>
      </c>
      <c r="D12" s="12">
        <v>62984</v>
      </c>
      <c r="E12" s="12">
        <v>70082</v>
      </c>
      <c r="F12" s="12">
        <v>82222</v>
      </c>
      <c r="G12" s="12">
        <v>89687</v>
      </c>
      <c r="H12" s="12">
        <v>94062</v>
      </c>
      <c r="I12" s="17">
        <f>I8-I11</f>
        <v>104484.99600000001</v>
      </c>
      <c r="J12" s="17">
        <f>J8-J11</f>
        <v>114933.49560000001</v>
      </c>
      <c r="K12" s="17">
        <f>K8-K11</f>
        <v>126426.84516000003</v>
      </c>
      <c r="L12" s="17">
        <f>L8-L11</f>
        <v>138708.31011840003</v>
      </c>
      <c r="M12" s="17">
        <f>M8-M11</f>
        <v>149804.97492787207</v>
      </c>
    </row>
    <row r="13" spans="1:13" x14ac:dyDescent="0.3">
      <c r="C13" s="14" t="s">
        <v>70</v>
      </c>
      <c r="D13" s="21">
        <f>IF(D8=0,"-",D12/D8)</f>
        <v>0.61744782220827987</v>
      </c>
      <c r="E13" s="21">
        <f>IF(E8=0,"-",E12/E8)</f>
        <v>0.59348271598665381</v>
      </c>
      <c r="F13" s="21">
        <f>IF(F8=0,"-",F12/F8)</f>
        <v>0.62600022840610603</v>
      </c>
      <c r="G13" s="21">
        <f>IF(G8=0,"-",G12/G8)</f>
        <v>0.63008549890755294</v>
      </c>
      <c r="H13" s="21">
        <f>IF(H8=0,"-",H12/H8)</f>
        <v>0.62386915342371263</v>
      </c>
      <c r="I13" s="21">
        <f>IF(I8=0,"-",I12/I8)</f>
        <v>0.63</v>
      </c>
      <c r="J13" s="21">
        <f>IF(J8=0,"-",J12/J8)</f>
        <v>0.63</v>
      </c>
      <c r="K13" s="21">
        <f>IF(K8=0,"-",K12/K8)</f>
        <v>0.63</v>
      </c>
      <c r="L13" s="21">
        <f>IF(L8=0,"-",L12/L8)</f>
        <v>0.64</v>
      </c>
      <c r="M13" s="21">
        <f>IF(M8=0,"-",M12/M8)</f>
        <v>0.64000000000000012</v>
      </c>
    </row>
    <row r="15" spans="1:13" x14ac:dyDescent="0.3">
      <c r="C15" s="10" t="s">
        <v>71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">
      <c r="C16" s="16" t="s">
        <v>72</v>
      </c>
      <c r="D16" s="12">
        <v>13260.91</v>
      </c>
      <c r="E16" s="12">
        <v>11336.255999999999</v>
      </c>
      <c r="F16" s="12">
        <v>11952.395</v>
      </c>
      <c r="G16" s="12">
        <v>11529.620999999999</v>
      </c>
      <c r="H16" s="12">
        <v>12664.848</v>
      </c>
      <c r="I16" s="22">
        <f>I8*Assumptions!I15</f>
        <v>14097.182000000003</v>
      </c>
      <c r="J16" s="22">
        <f>J8*Assumptions!J15</f>
        <v>15506.900200000004</v>
      </c>
      <c r="K16" s="22">
        <f>K8*Assumptions!K15</f>
        <v>17057.590220000006</v>
      </c>
      <c r="L16" s="22">
        <f>L8*Assumptions!L15</f>
        <v>17338.538764800003</v>
      </c>
      <c r="M16" s="22">
        <f>M8*Assumptions!M15</f>
        <v>18725.621865984005</v>
      </c>
    </row>
    <row r="17" spans="3:13" x14ac:dyDescent="0.3">
      <c r="C17" s="14" t="s">
        <v>73</v>
      </c>
      <c r="D17" s="1">
        <v>4080.28</v>
      </c>
      <c r="E17" s="1">
        <v>4959.6120000000001</v>
      </c>
      <c r="F17" s="1">
        <v>5647.835</v>
      </c>
      <c r="G17" s="1">
        <v>6405.3450000000003</v>
      </c>
      <c r="H17" s="1">
        <v>6935.5119999999997</v>
      </c>
      <c r="I17" s="20">
        <f>I8*Assumptions!I16</f>
        <v>7794.9124000000002</v>
      </c>
      <c r="J17" s="20">
        <f>J8*Assumptions!J16</f>
        <v>8574.4036400000005</v>
      </c>
      <c r="K17" s="20">
        <f>K8*Assumptions!K16</f>
        <v>9231.1664720000008</v>
      </c>
      <c r="L17" s="20">
        <f>L8*Assumptions!L16</f>
        <v>9752.9280552000018</v>
      </c>
      <c r="M17" s="20">
        <f>M8*Assumptions!M16</f>
        <v>10533.162299616002</v>
      </c>
    </row>
    <row r="18" spans="3:13" x14ac:dyDescent="0.3">
      <c r="C18" s="16" t="s">
        <v>74</v>
      </c>
      <c r="D18" s="12">
        <v>3570.2449999999999</v>
      </c>
      <c r="E18" s="12">
        <v>4487.268</v>
      </c>
      <c r="F18" s="12">
        <v>5253.8</v>
      </c>
      <c r="G18" s="12">
        <v>5408.9579999999996</v>
      </c>
      <c r="H18" s="12">
        <v>5578.5640000000003</v>
      </c>
      <c r="I18" s="22">
        <f>I8*Assumptions!I17</f>
        <v>6633.9680000000008</v>
      </c>
      <c r="J18" s="22">
        <f>J8*Assumptions!J17</f>
        <v>7297.3648000000012</v>
      </c>
      <c r="K18" s="22">
        <f>K8*Assumptions!K17</f>
        <v>7625.7462160000014</v>
      </c>
      <c r="L18" s="22">
        <f>L8*Assumptions!L17</f>
        <v>8235.8059132800008</v>
      </c>
      <c r="M18" s="22">
        <f>M8*Assumptions!M17</f>
        <v>8894.6703863424027</v>
      </c>
    </row>
    <row r="19" spans="3:13" x14ac:dyDescent="0.3">
      <c r="C19" s="14" t="s">
        <v>75</v>
      </c>
      <c r="D19" s="1">
        <v>10963</v>
      </c>
      <c r="E19" s="1">
        <v>10125</v>
      </c>
      <c r="F19" s="1">
        <v>10087</v>
      </c>
      <c r="G19" s="1">
        <v>11020</v>
      </c>
      <c r="H19" s="1">
        <v>11412</v>
      </c>
      <c r="I19" s="20">
        <f>Assumptions!I18</f>
        <v>12000</v>
      </c>
      <c r="J19" s="20">
        <f>Assumptions!J18</f>
        <v>12000</v>
      </c>
      <c r="K19" s="20">
        <f>Assumptions!K18</f>
        <v>13000</v>
      </c>
      <c r="L19" s="20">
        <f>Assumptions!L18</f>
        <v>13000</v>
      </c>
      <c r="M19" s="20">
        <f>Assumptions!M18</f>
        <v>14000</v>
      </c>
    </row>
    <row r="20" spans="3:13" x14ac:dyDescent="0.3">
      <c r="C20" s="16" t="s">
        <v>76</v>
      </c>
      <c r="D20" s="12">
        <v>3060.21</v>
      </c>
      <c r="E20" s="12">
        <v>2952.15</v>
      </c>
      <c r="F20" s="12">
        <v>3152.28</v>
      </c>
      <c r="G20" s="12">
        <v>3131.502</v>
      </c>
      <c r="H20" s="12">
        <v>3467.7559999999999</v>
      </c>
      <c r="I20" s="22">
        <f>I8*Assumptions!I19</f>
        <v>3814.5316000000003</v>
      </c>
      <c r="J20" s="22">
        <f>J8*Assumptions!J19</f>
        <v>4195.9847600000003</v>
      </c>
      <c r="K20" s="22">
        <f>K8*Assumptions!K19</f>
        <v>4615.5832360000004</v>
      </c>
      <c r="L20" s="22">
        <f>L8*Assumptions!L19</f>
        <v>4768.0981603200007</v>
      </c>
      <c r="M20" s="22">
        <f>M8*Assumptions!M19</f>
        <v>5149.5460131456011</v>
      </c>
    </row>
    <row r="21" spans="3:13" x14ac:dyDescent="0.3">
      <c r="C21" s="14" t="s">
        <v>77</v>
      </c>
      <c r="D21" s="1">
        <v>19500</v>
      </c>
      <c r="E21" s="1">
        <v>18150</v>
      </c>
      <c r="F21" s="1">
        <v>17205</v>
      </c>
      <c r="G21" s="1">
        <v>16544</v>
      </c>
      <c r="H21" s="1">
        <v>16080</v>
      </c>
      <c r="I21" s="20">
        <f>I93</f>
        <v>13132.349999999999</v>
      </c>
      <c r="J21" s="20">
        <f>J93</f>
        <v>13786.0275</v>
      </c>
      <c r="K21" s="20">
        <f>K93</f>
        <v>14560.917874999997</v>
      </c>
      <c r="L21" s="20">
        <f>L93</f>
        <v>15064.596618749998</v>
      </c>
      <c r="M21" s="20">
        <f>M93</f>
        <v>15741.987802187497</v>
      </c>
    </row>
    <row r="22" spans="3:13" x14ac:dyDescent="0.3">
      <c r="C22" s="37" t="s">
        <v>78</v>
      </c>
      <c r="D22" s="12">
        <f t="shared" ref="D22:M22" si="2">D16+D17+D18+D19+D20+D21</f>
        <v>54434.644999999997</v>
      </c>
      <c r="E22" s="12">
        <f t="shared" si="2"/>
        <v>52010.286</v>
      </c>
      <c r="F22" s="12">
        <f t="shared" si="2"/>
        <v>53298.31</v>
      </c>
      <c r="G22" s="12">
        <f t="shared" si="2"/>
        <v>54039.425999999999</v>
      </c>
      <c r="H22" s="12">
        <f t="shared" si="2"/>
        <v>56138.68</v>
      </c>
      <c r="I22" s="41">
        <f t="shared" si="2"/>
        <v>57472.944000000003</v>
      </c>
      <c r="J22" s="41">
        <f t="shared" si="2"/>
        <v>61360.680900000007</v>
      </c>
      <c r="K22" s="41">
        <f t="shared" si="2"/>
        <v>66091.004019</v>
      </c>
      <c r="L22" s="41">
        <f t="shared" si="2"/>
        <v>68159.967512350006</v>
      </c>
      <c r="M22" s="41">
        <f t="shared" si="2"/>
        <v>73044.98836727551</v>
      </c>
    </row>
    <row r="24" spans="3:13" x14ac:dyDescent="0.3">
      <c r="C24" s="11" t="s">
        <v>79</v>
      </c>
      <c r="D24" s="12">
        <f t="shared" ref="D24:M24" si="3">D12-D22</f>
        <v>8549.3550000000032</v>
      </c>
      <c r="E24" s="12">
        <f t="shared" si="3"/>
        <v>18071.714</v>
      </c>
      <c r="F24" s="12">
        <f t="shared" si="3"/>
        <v>28923.690000000002</v>
      </c>
      <c r="G24" s="12">
        <f t="shared" si="3"/>
        <v>35647.574000000001</v>
      </c>
      <c r="H24" s="12">
        <f t="shared" si="3"/>
        <v>37923.32</v>
      </c>
      <c r="I24" s="17">
        <f t="shared" si="3"/>
        <v>47012.052000000011</v>
      </c>
      <c r="J24" s="17">
        <f t="shared" si="3"/>
        <v>53572.814700000003</v>
      </c>
      <c r="K24" s="17">
        <f t="shared" si="3"/>
        <v>60335.841141000026</v>
      </c>
      <c r="L24" s="17">
        <f t="shared" si="3"/>
        <v>70548.342606050021</v>
      </c>
      <c r="M24" s="17">
        <f t="shared" si="3"/>
        <v>76759.986560596561</v>
      </c>
    </row>
    <row r="25" spans="3:13" x14ac:dyDescent="0.3">
      <c r="C25" s="14" t="s">
        <v>80</v>
      </c>
      <c r="D25" s="21">
        <f>IF(D8=0,"-",D24/D8)</f>
        <v>8.3811454115894038E-2</v>
      </c>
      <c r="E25" s="21">
        <f>IF(E8=0,"-",E24/E8)</f>
        <v>0.15303858205037008</v>
      </c>
      <c r="F25" s="21">
        <f>IF(F8=0,"-",F24/F8)</f>
        <v>0.22021158018957709</v>
      </c>
      <c r="G25" s="21">
        <f>IF(G8=0,"-",G24/G8)</f>
        <v>0.25043784995187612</v>
      </c>
      <c r="H25" s="21">
        <f>IF(H8=0,"-",H24/H8)</f>
        <v>0.25152760459501766</v>
      </c>
      <c r="I25" s="21">
        <f>IF(I8=0,"-",I24/I8)</f>
        <v>0.28346263955448692</v>
      </c>
      <c r="J25" s="21">
        <f>IF(J8=0,"-",J24/J8)</f>
        <v>0.29365567526513131</v>
      </c>
      <c r="K25" s="21">
        <f>IF(K8=0,"-",K24/K8)</f>
        <v>0.300660669581087</v>
      </c>
      <c r="L25" s="21">
        <f>IF(L8=0,"-",L24/L8)</f>
        <v>0.32550998011100868</v>
      </c>
      <c r="M25" s="21">
        <f>IF(M8=0,"-",M24/M8)</f>
        <v>0.32793564714679951</v>
      </c>
    </row>
    <row r="26" spans="3:13" x14ac:dyDescent="0.3"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3:13" x14ac:dyDescent="0.3">
      <c r="C27" s="16" t="s">
        <v>81</v>
      </c>
      <c r="D27" s="12">
        <v>2500</v>
      </c>
      <c r="E27" s="12">
        <v>2500</v>
      </c>
      <c r="F27" s="12">
        <v>1500</v>
      </c>
      <c r="G27" s="12">
        <v>1500</v>
      </c>
      <c r="H27" s="12">
        <v>1500</v>
      </c>
      <c r="I27" s="17">
        <f>I100</f>
        <v>2100</v>
      </c>
      <c r="J27" s="17">
        <f>J100</f>
        <v>2100</v>
      </c>
      <c r="K27" s="17">
        <f>K100</f>
        <v>2100</v>
      </c>
      <c r="L27" s="17">
        <f>L100</f>
        <v>2100</v>
      </c>
      <c r="M27" s="17">
        <f>M100</f>
        <v>1400.0000000000002</v>
      </c>
    </row>
    <row r="28" spans="3:13" x14ac:dyDescent="0.3">
      <c r="C28" s="14" t="s">
        <v>82</v>
      </c>
      <c r="D28" s="1">
        <f t="shared" ref="D28:M28" si="4">D24-D27</f>
        <v>6049.3550000000032</v>
      </c>
      <c r="E28" s="1">
        <f t="shared" si="4"/>
        <v>15571.714</v>
      </c>
      <c r="F28" s="1">
        <f t="shared" si="4"/>
        <v>27423.690000000002</v>
      </c>
      <c r="G28" s="1">
        <f t="shared" si="4"/>
        <v>34147.574000000001</v>
      </c>
      <c r="H28" s="1">
        <f t="shared" si="4"/>
        <v>36423.32</v>
      </c>
      <c r="I28" s="1">
        <f t="shared" si="4"/>
        <v>44912.052000000011</v>
      </c>
      <c r="J28" s="1">
        <f t="shared" si="4"/>
        <v>51472.814700000003</v>
      </c>
      <c r="K28" s="1">
        <f t="shared" si="4"/>
        <v>58235.841141000026</v>
      </c>
      <c r="L28" s="1">
        <f t="shared" si="4"/>
        <v>68448.342606050021</v>
      </c>
      <c r="M28" s="1">
        <f t="shared" si="4"/>
        <v>75359.986560596561</v>
      </c>
    </row>
    <row r="29" spans="3:13" x14ac:dyDescent="0.3">
      <c r="C29" s="16" t="s">
        <v>83</v>
      </c>
      <c r="D29" s="12">
        <v>1120</v>
      </c>
      <c r="E29" s="12">
        <v>4858</v>
      </c>
      <c r="F29" s="12">
        <v>8483</v>
      </c>
      <c r="G29" s="12">
        <v>10908</v>
      </c>
      <c r="H29" s="12">
        <v>11598</v>
      </c>
      <c r="I29" s="17">
        <f>MAX(0,I28*Assumptions!I32)</f>
        <v>12575.374560000004</v>
      </c>
      <c r="J29" s="17">
        <f>MAX(0,J28*Assumptions!J32)</f>
        <v>14412.388116000002</v>
      </c>
      <c r="K29" s="17">
        <f>MAX(0,K28*Assumptions!K32)</f>
        <v>16306.035519480009</v>
      </c>
      <c r="L29" s="17">
        <f>MAX(0,L28*Assumptions!L32)</f>
        <v>19165.535929694008</v>
      </c>
      <c r="M29" s="17">
        <f>MAX(0,M28*Assumptions!M32)</f>
        <v>21100.796236967039</v>
      </c>
    </row>
    <row r="30" spans="3:13" x14ac:dyDescent="0.3">
      <c r="C30" s="44" t="s">
        <v>84</v>
      </c>
      <c r="D30" s="1">
        <f t="shared" ref="D30:M30" si="5">D28-D29</f>
        <v>4929.3550000000032</v>
      </c>
      <c r="E30" s="1">
        <f t="shared" si="5"/>
        <v>10713.714</v>
      </c>
      <c r="F30" s="1">
        <f t="shared" si="5"/>
        <v>18940.690000000002</v>
      </c>
      <c r="G30" s="1">
        <f t="shared" si="5"/>
        <v>23239.574000000001</v>
      </c>
      <c r="H30" s="1">
        <f t="shared" si="5"/>
        <v>24825.32</v>
      </c>
      <c r="I30" s="1">
        <f t="shared" si="5"/>
        <v>32336.677440000007</v>
      </c>
      <c r="J30" s="1">
        <f t="shared" si="5"/>
        <v>37060.426584000001</v>
      </c>
      <c r="K30" s="1">
        <f t="shared" si="5"/>
        <v>41929.805621520019</v>
      </c>
      <c r="L30" s="1">
        <f t="shared" si="5"/>
        <v>49282.806676356013</v>
      </c>
      <c r="M30" s="1">
        <f t="shared" si="5"/>
        <v>54259.190323629518</v>
      </c>
    </row>
    <row r="31" spans="3:13" x14ac:dyDescent="0.3">
      <c r="C31" s="16" t="s">
        <v>85</v>
      </c>
      <c r="D31" s="42">
        <f>IF(D8=0,"-",D30/D8)</f>
        <v>4.8323693472016656E-2</v>
      </c>
      <c r="E31" s="42">
        <f>IF(E8=0,"-",E30/E8)</f>
        <v>9.0728062598445194E-2</v>
      </c>
      <c r="F31" s="42">
        <f>IF(F8=0,"-",F30/F8)</f>
        <v>0.14420564163081961</v>
      </c>
      <c r="G31" s="42">
        <f>IF(G8=0,"-",G30/G8)</f>
        <v>0.1632669013144491</v>
      </c>
      <c r="H31" s="42">
        <f>IF(H8=0,"-",H30/H8)</f>
        <v>0.1646547104236861</v>
      </c>
      <c r="I31" s="43">
        <f>IF(I8=0,"-",I30/I8)</f>
        <v>0.19497638481222704</v>
      </c>
      <c r="J31" s="43">
        <f>IF(J8=0,"-",J30/J8)</f>
        <v>0.20314416285725498</v>
      </c>
      <c r="K31" s="43">
        <f>IF(K8=0,"-",K30/K8)</f>
        <v>0.20894120634052851</v>
      </c>
      <c r="L31" s="43">
        <f>IF(L8=0,"-",L30/L8)</f>
        <v>0.22739081923746868</v>
      </c>
      <c r="M31" s="43">
        <f>IF(M8=0,"-",M30/M8)</f>
        <v>0.2318072669071416</v>
      </c>
    </row>
    <row r="33" spans="3:13" x14ac:dyDescent="0.3">
      <c r="C33" s="24" t="s">
        <v>86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5" spans="3:13" x14ac:dyDescent="0.3">
      <c r="C35" s="10" t="s">
        <v>87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3:13" x14ac:dyDescent="0.3">
      <c r="C36" s="14" t="s">
        <v>88</v>
      </c>
      <c r="D36" s="1">
        <v>67971</v>
      </c>
      <c r="E36" s="1">
        <v>81210</v>
      </c>
      <c r="F36" s="1">
        <v>83715</v>
      </c>
      <c r="G36" s="1">
        <v>111070</v>
      </c>
      <c r="H36" s="1">
        <v>139549</v>
      </c>
      <c r="I36" s="15">
        <f>I79</f>
        <v>167988.0762947945</v>
      </c>
      <c r="J36" s="15">
        <f>J79</f>
        <v>200385.86917660272</v>
      </c>
      <c r="K36" s="15">
        <f>K79</f>
        <v>239107.73143838299</v>
      </c>
      <c r="L36" s="15">
        <f>L79</f>
        <v>275177.61606676242</v>
      </c>
      <c r="M36" s="15">
        <f>M79</f>
        <v>326519.99481267034</v>
      </c>
    </row>
    <row r="37" spans="3:13" x14ac:dyDescent="0.3">
      <c r="C37" s="16" t="s">
        <v>89</v>
      </c>
      <c r="D37" s="12">
        <v>5100</v>
      </c>
      <c r="E37" s="12">
        <v>5904</v>
      </c>
      <c r="F37" s="12">
        <v>6567</v>
      </c>
      <c r="G37" s="12">
        <v>7117</v>
      </c>
      <c r="H37" s="12">
        <v>7538</v>
      </c>
      <c r="I37" s="13">
        <f t="shared" ref="I37:M38" si="6">I84</f>
        <v>8178.8646575342473</v>
      </c>
      <c r="J37" s="13">
        <f t="shared" si="6"/>
        <v>8996.7511232876732</v>
      </c>
      <c r="K37" s="13">
        <f t="shared" si="6"/>
        <v>9896.42623561644</v>
      </c>
      <c r="L37" s="13">
        <f t="shared" si="6"/>
        <v>10688.140334465756</v>
      </c>
      <c r="M37" s="13">
        <f t="shared" si="6"/>
        <v>11543.191561223017</v>
      </c>
    </row>
    <row r="38" spans="3:13" x14ac:dyDescent="0.3">
      <c r="C38" s="14" t="s">
        <v>90</v>
      </c>
      <c r="D38" s="1">
        <v>7805</v>
      </c>
      <c r="E38" s="1">
        <v>9601</v>
      </c>
      <c r="F38" s="1">
        <v>9825</v>
      </c>
      <c r="G38" s="1">
        <v>10531</v>
      </c>
      <c r="H38" s="1">
        <v>11342</v>
      </c>
      <c r="I38" s="15">
        <f t="shared" si="6"/>
        <v>13449.688547945207</v>
      </c>
      <c r="J38" s="15">
        <f t="shared" si="6"/>
        <v>15719.323490410961</v>
      </c>
      <c r="K38" s="15">
        <f t="shared" si="6"/>
        <v>17291.255839452057</v>
      </c>
      <c r="L38" s="15">
        <f t="shared" si="6"/>
        <v>18169.838568591786</v>
      </c>
      <c r="M38" s="15">
        <f t="shared" si="6"/>
        <v>19623.425654079125</v>
      </c>
    </row>
    <row r="39" spans="3:13" x14ac:dyDescent="0.3">
      <c r="C39" s="37" t="s">
        <v>91</v>
      </c>
      <c r="D39" s="12">
        <f t="shared" ref="D39:M39" si="7">D36+D37+D38</f>
        <v>80876</v>
      </c>
      <c r="E39" s="12">
        <f t="shared" si="7"/>
        <v>96715</v>
      </c>
      <c r="F39" s="12">
        <f t="shared" si="7"/>
        <v>100107</v>
      </c>
      <c r="G39" s="12">
        <f t="shared" si="7"/>
        <v>128718</v>
      </c>
      <c r="H39" s="12">
        <f t="shared" si="7"/>
        <v>158429</v>
      </c>
      <c r="I39" s="17">
        <f t="shared" si="7"/>
        <v>189616.62950027396</v>
      </c>
      <c r="J39" s="17">
        <f t="shared" si="7"/>
        <v>225101.94379030136</v>
      </c>
      <c r="K39" s="17">
        <f t="shared" si="7"/>
        <v>266295.41351345147</v>
      </c>
      <c r="L39" s="17">
        <f t="shared" si="7"/>
        <v>304035.59496982</v>
      </c>
      <c r="M39" s="17">
        <f t="shared" si="7"/>
        <v>357686.61202797247</v>
      </c>
    </row>
    <row r="40" spans="3:13" x14ac:dyDescent="0.3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3:13" x14ac:dyDescent="0.3">
      <c r="C41" s="14" t="s">
        <v>92</v>
      </c>
      <c r="D41" s="1">
        <v>45500</v>
      </c>
      <c r="E41" s="1">
        <v>42350</v>
      </c>
      <c r="F41" s="1">
        <v>40145</v>
      </c>
      <c r="G41" s="1">
        <v>38601</v>
      </c>
      <c r="H41" s="1">
        <v>37521</v>
      </c>
      <c r="I41" s="15">
        <f>I94</f>
        <v>39388.65</v>
      </c>
      <c r="J41" s="15">
        <f>J94</f>
        <v>41602.622499999998</v>
      </c>
      <c r="K41" s="15">
        <f>K94</f>
        <v>43041.704624999998</v>
      </c>
      <c r="L41" s="15">
        <f>L94</f>
        <v>44977.108006249997</v>
      </c>
      <c r="M41" s="15">
        <f>M94</f>
        <v>46235.120204062499</v>
      </c>
    </row>
    <row r="42" spans="3:13" x14ac:dyDescent="0.3">
      <c r="C42" s="37" t="s">
        <v>93</v>
      </c>
      <c r="D42" s="12">
        <f t="shared" ref="D42:M42" si="8">D39+D41</f>
        <v>126376</v>
      </c>
      <c r="E42" s="12">
        <f t="shared" si="8"/>
        <v>139065</v>
      </c>
      <c r="F42" s="12">
        <f t="shared" si="8"/>
        <v>140252</v>
      </c>
      <c r="G42" s="12">
        <f t="shared" si="8"/>
        <v>167319</v>
      </c>
      <c r="H42" s="12">
        <f t="shared" si="8"/>
        <v>195950</v>
      </c>
      <c r="I42" s="17">
        <f t="shared" si="8"/>
        <v>229005.27950027396</v>
      </c>
      <c r="J42" s="17">
        <f t="shared" si="8"/>
        <v>266704.56629030139</v>
      </c>
      <c r="K42" s="17">
        <f t="shared" si="8"/>
        <v>309337.11813845148</v>
      </c>
      <c r="L42" s="17">
        <f t="shared" si="8"/>
        <v>349012.70297607</v>
      </c>
      <c r="M42" s="17">
        <f t="shared" si="8"/>
        <v>403921.73223203496</v>
      </c>
    </row>
    <row r="44" spans="3:13" x14ac:dyDescent="0.3">
      <c r="C44" s="10" t="s">
        <v>94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3:13" x14ac:dyDescent="0.3">
      <c r="C45" s="14" t="s">
        <v>95</v>
      </c>
      <c r="D45" s="1">
        <v>3902</v>
      </c>
      <c r="E45" s="1">
        <v>4800</v>
      </c>
      <c r="F45" s="1">
        <v>4912</v>
      </c>
      <c r="G45" s="1">
        <v>5266</v>
      </c>
      <c r="H45" s="1">
        <v>5670</v>
      </c>
      <c r="I45" s="15">
        <f>I86</f>
        <v>6388.6020602739736</v>
      </c>
      <c r="J45" s="15">
        <f>J86</f>
        <v>7027.4622663013715</v>
      </c>
      <c r="K45" s="15">
        <f>K86</f>
        <v>7730.2084929315079</v>
      </c>
      <c r="L45" s="15">
        <f>L86</f>
        <v>8122.9866541939746</v>
      </c>
      <c r="M45" s="15">
        <f>M86</f>
        <v>8772.8255865294923</v>
      </c>
    </row>
    <row r="46" spans="3:13" x14ac:dyDescent="0.3">
      <c r="C46" s="37" t="s">
        <v>96</v>
      </c>
      <c r="D46" s="12">
        <f t="shared" ref="D46:M46" si="9">D45</f>
        <v>3902</v>
      </c>
      <c r="E46" s="12">
        <f t="shared" si="9"/>
        <v>4800</v>
      </c>
      <c r="F46" s="12">
        <f t="shared" si="9"/>
        <v>4912</v>
      </c>
      <c r="G46" s="12">
        <f t="shared" si="9"/>
        <v>5266</v>
      </c>
      <c r="H46" s="12">
        <f t="shared" si="9"/>
        <v>5670</v>
      </c>
      <c r="I46" s="17">
        <f t="shared" si="9"/>
        <v>6388.6020602739736</v>
      </c>
      <c r="J46" s="17">
        <f t="shared" si="9"/>
        <v>7027.4622663013715</v>
      </c>
      <c r="K46" s="17">
        <f t="shared" si="9"/>
        <v>7730.2084929315079</v>
      </c>
      <c r="L46" s="17">
        <f t="shared" si="9"/>
        <v>8122.9866541939746</v>
      </c>
      <c r="M46" s="17">
        <f t="shared" si="9"/>
        <v>8772.8255865294923</v>
      </c>
    </row>
    <row r="48" spans="3:13" x14ac:dyDescent="0.3">
      <c r="C48" s="14" t="s">
        <v>97</v>
      </c>
      <c r="D48" s="1">
        <v>50000</v>
      </c>
      <c r="E48" s="1">
        <v>50000</v>
      </c>
      <c r="F48" s="1">
        <v>30000</v>
      </c>
      <c r="G48" s="1">
        <v>30000</v>
      </c>
      <c r="H48" s="1">
        <v>30000</v>
      </c>
      <c r="I48" s="15">
        <f>I99</f>
        <v>30000</v>
      </c>
      <c r="J48" s="15">
        <f>J99</f>
        <v>30000</v>
      </c>
      <c r="K48" s="15">
        <f>K99</f>
        <v>30000</v>
      </c>
      <c r="L48" s="15">
        <f>L99</f>
        <v>20000</v>
      </c>
      <c r="M48" s="15">
        <f>M99</f>
        <v>20000</v>
      </c>
    </row>
    <row r="49" spans="3:13" x14ac:dyDescent="0.3">
      <c r="C49" s="37" t="s">
        <v>98</v>
      </c>
      <c r="D49" s="12">
        <f t="shared" ref="D49:M49" si="10">D46+D48</f>
        <v>53902</v>
      </c>
      <c r="E49" s="12">
        <f t="shared" si="10"/>
        <v>54800</v>
      </c>
      <c r="F49" s="12">
        <f t="shared" si="10"/>
        <v>34912</v>
      </c>
      <c r="G49" s="12">
        <f t="shared" si="10"/>
        <v>35266</v>
      </c>
      <c r="H49" s="12">
        <f t="shared" si="10"/>
        <v>35670</v>
      </c>
      <c r="I49" s="17">
        <f t="shared" si="10"/>
        <v>36388.602060273974</v>
      </c>
      <c r="J49" s="17">
        <f t="shared" si="10"/>
        <v>37027.462266301372</v>
      </c>
      <c r="K49" s="17">
        <f t="shared" si="10"/>
        <v>37730.20849293151</v>
      </c>
      <c r="L49" s="17">
        <f t="shared" si="10"/>
        <v>28122.986654193974</v>
      </c>
      <c r="M49" s="17">
        <f t="shared" si="10"/>
        <v>28772.825586529492</v>
      </c>
    </row>
    <row r="51" spans="3:13" x14ac:dyDescent="0.3">
      <c r="C51" s="14" t="s">
        <v>99</v>
      </c>
      <c r="D51" s="1">
        <v>70000</v>
      </c>
      <c r="E51" s="1">
        <v>70000</v>
      </c>
      <c r="F51" s="1">
        <v>70000</v>
      </c>
      <c r="G51" s="1">
        <v>70000</v>
      </c>
      <c r="H51" s="1">
        <v>70000</v>
      </c>
      <c r="I51" s="1">
        <f>H51+Assumptions!I34</f>
        <v>70000</v>
      </c>
      <c r="J51" s="1">
        <f>I51+Assumptions!J34</f>
        <v>70000</v>
      </c>
      <c r="K51" s="1">
        <f>J51+Assumptions!K34</f>
        <v>70000</v>
      </c>
      <c r="L51" s="1">
        <f>K51+Assumptions!L34</f>
        <v>70000</v>
      </c>
      <c r="M51" s="1">
        <f>L51+Assumptions!M34</f>
        <v>70000</v>
      </c>
    </row>
    <row r="52" spans="3:13" x14ac:dyDescent="0.3">
      <c r="C52" s="37" t="s">
        <v>100</v>
      </c>
      <c r="D52" s="12">
        <v>2474</v>
      </c>
      <c r="E52" s="12">
        <v>14265</v>
      </c>
      <c r="F52" s="12">
        <v>35340</v>
      </c>
      <c r="G52" s="12">
        <v>62053</v>
      </c>
      <c r="H52" s="12">
        <v>90280</v>
      </c>
      <c r="I52" s="17">
        <f>H52+I30</f>
        <v>122616.67744</v>
      </c>
      <c r="J52" s="17">
        <f>I52+J30</f>
        <v>159677.104024</v>
      </c>
      <c r="K52" s="17">
        <f>J52+K30</f>
        <v>201606.90964552003</v>
      </c>
      <c r="L52" s="17">
        <f>K52+L30</f>
        <v>250889.71632187604</v>
      </c>
      <c r="M52" s="17">
        <f>L52+M30</f>
        <v>305148.90664550557</v>
      </c>
    </row>
    <row r="53" spans="3:13" x14ac:dyDescent="0.3">
      <c r="C53" s="44" t="s">
        <v>101</v>
      </c>
      <c r="D53" s="1">
        <f t="shared" ref="D53:M53" si="11">D51+D52</f>
        <v>72474</v>
      </c>
      <c r="E53" s="1">
        <f t="shared" si="11"/>
        <v>84265</v>
      </c>
      <c r="F53" s="1">
        <f t="shared" si="11"/>
        <v>105340</v>
      </c>
      <c r="G53" s="1">
        <f t="shared" si="11"/>
        <v>132053</v>
      </c>
      <c r="H53" s="1">
        <f t="shared" si="11"/>
        <v>160280</v>
      </c>
      <c r="I53" s="1">
        <f t="shared" si="11"/>
        <v>192616.67744</v>
      </c>
      <c r="J53" s="1">
        <f t="shared" si="11"/>
        <v>229677.104024</v>
      </c>
      <c r="K53" s="1">
        <f t="shared" si="11"/>
        <v>271606.90964552003</v>
      </c>
      <c r="L53" s="1">
        <f t="shared" si="11"/>
        <v>320889.71632187604</v>
      </c>
      <c r="M53" s="1">
        <f t="shared" si="11"/>
        <v>375148.90664550557</v>
      </c>
    </row>
    <row r="55" spans="3:13" x14ac:dyDescent="0.3">
      <c r="C55" s="37" t="s">
        <v>102</v>
      </c>
      <c r="D55" s="12">
        <f t="shared" ref="D55:M55" si="12">D49+D53</f>
        <v>126376</v>
      </c>
      <c r="E55" s="12">
        <f t="shared" si="12"/>
        <v>139065</v>
      </c>
      <c r="F55" s="12">
        <f t="shared" si="12"/>
        <v>140252</v>
      </c>
      <c r="G55" s="12">
        <f t="shared" si="12"/>
        <v>167319</v>
      </c>
      <c r="H55" s="12">
        <f t="shared" si="12"/>
        <v>195950</v>
      </c>
      <c r="I55" s="17">
        <f t="shared" si="12"/>
        <v>229005.27950027399</v>
      </c>
      <c r="J55" s="17">
        <f t="shared" si="12"/>
        <v>266704.56629030139</v>
      </c>
      <c r="K55" s="17">
        <f t="shared" si="12"/>
        <v>309337.11813845154</v>
      </c>
      <c r="L55" s="17">
        <f t="shared" si="12"/>
        <v>349012.70297607</v>
      </c>
      <c r="M55" s="17">
        <f t="shared" si="12"/>
        <v>403921.73223203508</v>
      </c>
    </row>
    <row r="56" spans="3:13" x14ac:dyDescent="0.3">
      <c r="C56" s="25" t="s">
        <v>103</v>
      </c>
      <c r="D56" s="26" t="str">
        <f t="shared" ref="D56:M56" si="13">IF(ABS(D42-D55)&lt;1,"OK","ERROR")</f>
        <v>OK</v>
      </c>
      <c r="E56" s="26" t="str">
        <f t="shared" si="13"/>
        <v>OK</v>
      </c>
      <c r="F56" s="26" t="str">
        <f t="shared" si="13"/>
        <v>OK</v>
      </c>
      <c r="G56" s="26" t="str">
        <f t="shared" si="13"/>
        <v>OK</v>
      </c>
      <c r="H56" s="26" t="str">
        <f t="shared" si="13"/>
        <v>OK</v>
      </c>
      <c r="I56" s="26" t="str">
        <f t="shared" si="13"/>
        <v>OK</v>
      </c>
      <c r="J56" s="26" t="str">
        <f t="shared" si="13"/>
        <v>OK</v>
      </c>
      <c r="K56" s="26" t="str">
        <f t="shared" si="13"/>
        <v>OK</v>
      </c>
      <c r="L56" s="26" t="str">
        <f t="shared" si="13"/>
        <v>OK</v>
      </c>
      <c r="M56" s="26" t="str">
        <f t="shared" si="13"/>
        <v>OK</v>
      </c>
    </row>
    <row r="58" spans="3:13" x14ac:dyDescent="0.3">
      <c r="C58" s="10" t="s">
        <v>104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60" spans="3:13" x14ac:dyDescent="0.3">
      <c r="C60" s="10" t="s">
        <v>105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3:13" x14ac:dyDescent="0.3">
      <c r="C61" s="16" t="s">
        <v>106</v>
      </c>
      <c r="D61" s="12">
        <v>2474</v>
      </c>
      <c r="E61" s="12">
        <v>11791</v>
      </c>
      <c r="F61" s="12">
        <v>21075</v>
      </c>
      <c r="G61" s="12">
        <v>26713</v>
      </c>
      <c r="H61" s="12">
        <v>28227</v>
      </c>
      <c r="I61" s="13">
        <f>I30</f>
        <v>32336.677440000007</v>
      </c>
      <c r="J61" s="13">
        <f>J30</f>
        <v>37060.426584000001</v>
      </c>
      <c r="K61" s="13">
        <f>K30</f>
        <v>41929.805621520019</v>
      </c>
      <c r="L61" s="13">
        <f>L30</f>
        <v>49282.806676356013</v>
      </c>
      <c r="M61" s="13">
        <f>M30</f>
        <v>54259.190323629518</v>
      </c>
    </row>
    <row r="62" spans="3:13" x14ac:dyDescent="0.3">
      <c r="C62" s="14" t="s">
        <v>107</v>
      </c>
      <c r="D62" s="1">
        <v>19500</v>
      </c>
      <c r="E62" s="1">
        <v>18150</v>
      </c>
      <c r="F62" s="1">
        <v>17205</v>
      </c>
      <c r="G62" s="1">
        <v>16544</v>
      </c>
      <c r="H62" s="1">
        <v>16080</v>
      </c>
      <c r="I62" s="15">
        <f>I21</f>
        <v>13132.349999999999</v>
      </c>
      <c r="J62" s="15">
        <f>J21</f>
        <v>13786.0275</v>
      </c>
      <c r="K62" s="15">
        <f>K21</f>
        <v>14560.917874999997</v>
      </c>
      <c r="L62" s="15">
        <f>L21</f>
        <v>15064.596618749998</v>
      </c>
      <c r="M62" s="15">
        <f>M21</f>
        <v>15741.987802187497</v>
      </c>
    </row>
    <row r="63" spans="3:13" x14ac:dyDescent="0.3">
      <c r="C63" s="16" t="s">
        <v>108</v>
      </c>
      <c r="D63" s="12">
        <v>0</v>
      </c>
      <c r="E63" s="12">
        <f t="shared" ref="E63:M63" si="14">-(E84-D84)</f>
        <v>-804</v>
      </c>
      <c r="F63" s="12">
        <f t="shared" si="14"/>
        <v>-663</v>
      </c>
      <c r="G63" s="12">
        <f t="shared" si="14"/>
        <v>-550</v>
      </c>
      <c r="H63" s="12">
        <f t="shared" si="14"/>
        <v>-421</v>
      </c>
      <c r="I63" s="17">
        <f t="shared" si="14"/>
        <v>-640.86465753424727</v>
      </c>
      <c r="J63" s="17">
        <f t="shared" si="14"/>
        <v>-817.88646575342591</v>
      </c>
      <c r="K63" s="17">
        <f t="shared" si="14"/>
        <v>-899.67511232876677</v>
      </c>
      <c r="L63" s="17">
        <f t="shared" si="14"/>
        <v>-791.71409884931563</v>
      </c>
      <c r="M63" s="17">
        <f t="shared" si="14"/>
        <v>-855.05122675726125</v>
      </c>
    </row>
    <row r="64" spans="3:13" x14ac:dyDescent="0.3">
      <c r="C64" s="14" t="s">
        <v>109</v>
      </c>
      <c r="D64" s="1">
        <v>0</v>
      </c>
      <c r="E64" s="1">
        <f t="shared" ref="E64:M64" si="15">-(E85-D85)</f>
        <v>-1796</v>
      </c>
      <c r="F64" s="1">
        <f t="shared" si="15"/>
        <v>-224</v>
      </c>
      <c r="G64" s="1">
        <f t="shared" si="15"/>
        <v>-706</v>
      </c>
      <c r="H64" s="1">
        <f t="shared" si="15"/>
        <v>-811</v>
      </c>
      <c r="I64" s="1">
        <f t="shared" si="15"/>
        <v>-2107.6885479452067</v>
      </c>
      <c r="J64" s="1">
        <f t="shared" si="15"/>
        <v>-2269.6349424657546</v>
      </c>
      <c r="K64" s="1">
        <f t="shared" si="15"/>
        <v>-1571.9323490410952</v>
      </c>
      <c r="L64" s="1">
        <f t="shared" si="15"/>
        <v>-878.58272913972905</v>
      </c>
      <c r="M64" s="1">
        <f t="shared" si="15"/>
        <v>-1453.5870854873392</v>
      </c>
    </row>
    <row r="65" spans="3:13" x14ac:dyDescent="0.3">
      <c r="C65" s="16" t="s">
        <v>110</v>
      </c>
      <c r="D65" s="12">
        <v>0</v>
      </c>
      <c r="E65" s="12">
        <f t="shared" ref="E65:M65" si="16">E86-D86</f>
        <v>898</v>
      </c>
      <c r="F65" s="12">
        <f t="shared" si="16"/>
        <v>112</v>
      </c>
      <c r="G65" s="12">
        <f t="shared" si="16"/>
        <v>354</v>
      </c>
      <c r="H65" s="12">
        <f t="shared" si="16"/>
        <v>404</v>
      </c>
      <c r="I65" s="17">
        <f t="shared" si="16"/>
        <v>718.60206027397362</v>
      </c>
      <c r="J65" s="17">
        <f t="shared" si="16"/>
        <v>638.86020602739791</v>
      </c>
      <c r="K65" s="17">
        <f t="shared" si="16"/>
        <v>702.74622663013633</v>
      </c>
      <c r="L65" s="17">
        <f t="shared" si="16"/>
        <v>392.77816126246671</v>
      </c>
      <c r="M65" s="17">
        <f t="shared" si="16"/>
        <v>649.83893233551771</v>
      </c>
    </row>
    <row r="66" spans="3:13" x14ac:dyDescent="0.3">
      <c r="C66" s="44" t="s">
        <v>111</v>
      </c>
      <c r="D66" s="1">
        <f t="shared" ref="D66:M66" si="17">D61+D62+D63+D64+D65</f>
        <v>21974</v>
      </c>
      <c r="E66" s="1">
        <f t="shared" si="17"/>
        <v>28239</v>
      </c>
      <c r="F66" s="1">
        <f t="shared" si="17"/>
        <v>37505</v>
      </c>
      <c r="G66" s="1">
        <f t="shared" si="17"/>
        <v>42355</v>
      </c>
      <c r="H66" s="1">
        <f t="shared" si="17"/>
        <v>43479</v>
      </c>
      <c r="I66" s="1">
        <f t="shared" si="17"/>
        <v>43439.076294794519</v>
      </c>
      <c r="J66" s="1">
        <f t="shared" si="17"/>
        <v>48397.792881808215</v>
      </c>
      <c r="K66" s="1">
        <f t="shared" si="17"/>
        <v>54721.86226178029</v>
      </c>
      <c r="L66" s="1">
        <f t="shared" si="17"/>
        <v>63069.884628379426</v>
      </c>
      <c r="M66" s="1">
        <f t="shared" si="17"/>
        <v>68342.378745907932</v>
      </c>
    </row>
    <row r="68" spans="3:13" x14ac:dyDescent="0.3">
      <c r="C68" s="10" t="s">
        <v>112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3:13" x14ac:dyDescent="0.3">
      <c r="C69" s="16" t="s">
        <v>113</v>
      </c>
      <c r="D69" s="12">
        <v>-15000</v>
      </c>
      <c r="E69" s="12">
        <v>-15000</v>
      </c>
      <c r="F69" s="12">
        <v>-15000</v>
      </c>
      <c r="G69" s="12">
        <v>-15000</v>
      </c>
      <c r="H69" s="12">
        <v>-15000</v>
      </c>
      <c r="I69" s="13">
        <f>-I92</f>
        <v>-15000</v>
      </c>
      <c r="J69" s="13">
        <f>-J92</f>
        <v>-16000</v>
      </c>
      <c r="K69" s="13">
        <f>-K92</f>
        <v>-16000</v>
      </c>
      <c r="L69" s="13">
        <f>-L92</f>
        <v>-17000</v>
      </c>
      <c r="M69" s="13">
        <f>-M92</f>
        <v>-17000</v>
      </c>
    </row>
    <row r="70" spans="3:13" x14ac:dyDescent="0.3">
      <c r="C70" s="44" t="s">
        <v>114</v>
      </c>
      <c r="D70" s="1">
        <f t="shared" ref="D70:M70" si="18">D69</f>
        <v>-15000</v>
      </c>
      <c r="E70" s="1">
        <f t="shared" si="18"/>
        <v>-15000</v>
      </c>
      <c r="F70" s="1">
        <f t="shared" si="18"/>
        <v>-15000</v>
      </c>
      <c r="G70" s="1">
        <f t="shared" si="18"/>
        <v>-15000</v>
      </c>
      <c r="H70" s="1">
        <f t="shared" si="18"/>
        <v>-15000</v>
      </c>
      <c r="I70" s="15">
        <f t="shared" si="18"/>
        <v>-15000</v>
      </c>
      <c r="J70" s="15">
        <f t="shared" si="18"/>
        <v>-16000</v>
      </c>
      <c r="K70" s="15">
        <f t="shared" si="18"/>
        <v>-16000</v>
      </c>
      <c r="L70" s="15">
        <f t="shared" si="18"/>
        <v>-17000</v>
      </c>
      <c r="M70" s="15">
        <f t="shared" si="18"/>
        <v>-17000</v>
      </c>
    </row>
    <row r="72" spans="3:13" x14ac:dyDescent="0.3">
      <c r="C72" s="10" t="s">
        <v>115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3:13" x14ac:dyDescent="0.3">
      <c r="C73" s="16" t="s">
        <v>116</v>
      </c>
      <c r="D73" s="12">
        <v>0</v>
      </c>
      <c r="E73" s="12">
        <v>0</v>
      </c>
      <c r="F73" s="12">
        <v>-20000</v>
      </c>
      <c r="G73" s="12">
        <v>0</v>
      </c>
      <c r="H73" s="12">
        <v>0</v>
      </c>
      <c r="I73" s="13">
        <f>I98</f>
        <v>0</v>
      </c>
      <c r="J73" s="13">
        <f>J98</f>
        <v>0</v>
      </c>
      <c r="K73" s="13">
        <f>K98</f>
        <v>0</v>
      </c>
      <c r="L73" s="13">
        <f>L98</f>
        <v>-10000</v>
      </c>
      <c r="M73" s="13">
        <f>M98</f>
        <v>0</v>
      </c>
    </row>
    <row r="74" spans="3:13" x14ac:dyDescent="0.3">
      <c r="C74" s="44" t="s">
        <v>117</v>
      </c>
      <c r="D74" s="1">
        <v>70000</v>
      </c>
      <c r="E74" s="1">
        <v>0</v>
      </c>
      <c r="F74" s="1">
        <v>0</v>
      </c>
      <c r="G74" s="1">
        <v>0</v>
      </c>
      <c r="H74" s="1">
        <v>0</v>
      </c>
      <c r="I74" s="15">
        <f>Assumptions!I34</f>
        <v>0</v>
      </c>
      <c r="J74" s="15">
        <f>Assumptions!J34</f>
        <v>0</v>
      </c>
      <c r="K74" s="15">
        <f>Assumptions!K34</f>
        <v>0</v>
      </c>
      <c r="L74" s="15">
        <f>Assumptions!L34</f>
        <v>0</v>
      </c>
      <c r="M74" s="15">
        <f>Assumptions!M34</f>
        <v>0</v>
      </c>
    </row>
    <row r="75" spans="3:13" x14ac:dyDescent="0.3">
      <c r="C75" s="37" t="s">
        <v>118</v>
      </c>
      <c r="D75" s="12">
        <f t="shared" ref="D75:M75" si="19">D73+D74</f>
        <v>70000</v>
      </c>
      <c r="E75" s="12">
        <f t="shared" si="19"/>
        <v>0</v>
      </c>
      <c r="F75" s="12">
        <f t="shared" si="19"/>
        <v>-20000</v>
      </c>
      <c r="G75" s="12">
        <f t="shared" si="19"/>
        <v>0</v>
      </c>
      <c r="H75" s="12">
        <f t="shared" si="19"/>
        <v>0</v>
      </c>
      <c r="I75" s="17">
        <f t="shared" si="19"/>
        <v>0</v>
      </c>
      <c r="J75" s="17">
        <f t="shared" si="19"/>
        <v>0</v>
      </c>
      <c r="K75" s="17">
        <f t="shared" si="19"/>
        <v>0</v>
      </c>
      <c r="L75" s="17">
        <f t="shared" si="19"/>
        <v>-10000</v>
      </c>
      <c r="M75" s="17">
        <f t="shared" si="19"/>
        <v>0</v>
      </c>
    </row>
    <row r="77" spans="3:13" x14ac:dyDescent="0.3">
      <c r="C77" s="44" t="s">
        <v>119</v>
      </c>
      <c r="D77" s="1">
        <f t="shared" ref="D77:M77" si="20">D66+D70+D75</f>
        <v>76974</v>
      </c>
      <c r="E77" s="1">
        <f t="shared" si="20"/>
        <v>13239</v>
      </c>
      <c r="F77" s="1">
        <f t="shared" si="20"/>
        <v>2505</v>
      </c>
      <c r="G77" s="1">
        <f t="shared" si="20"/>
        <v>27355</v>
      </c>
      <c r="H77" s="1">
        <f t="shared" si="20"/>
        <v>28479</v>
      </c>
      <c r="I77" s="1">
        <f t="shared" si="20"/>
        <v>28439.076294794519</v>
      </c>
      <c r="J77" s="1">
        <f t="shared" si="20"/>
        <v>32397.792881808215</v>
      </c>
      <c r="K77" s="1">
        <f t="shared" si="20"/>
        <v>38721.86226178029</v>
      </c>
      <c r="L77" s="1">
        <f t="shared" si="20"/>
        <v>36069.884628379426</v>
      </c>
      <c r="M77" s="1">
        <f t="shared" si="20"/>
        <v>51342.378745907932</v>
      </c>
    </row>
    <row r="78" spans="3:13" x14ac:dyDescent="0.3">
      <c r="C78" s="16" t="s">
        <v>120</v>
      </c>
      <c r="D78" s="12">
        <v>0</v>
      </c>
      <c r="E78" s="12">
        <v>67971</v>
      </c>
      <c r="F78" s="12">
        <v>81210</v>
      </c>
      <c r="G78" s="12">
        <v>83715</v>
      </c>
      <c r="H78" s="12">
        <v>111070</v>
      </c>
      <c r="I78" s="17">
        <f>H79</f>
        <v>139549</v>
      </c>
      <c r="J78" s="17">
        <f>I79</f>
        <v>167988.0762947945</v>
      </c>
      <c r="K78" s="17">
        <f>J79</f>
        <v>200385.86917660272</v>
      </c>
      <c r="L78" s="17">
        <f>K79</f>
        <v>239107.73143838299</v>
      </c>
      <c r="M78" s="17">
        <f>L79</f>
        <v>275177.61606676242</v>
      </c>
    </row>
    <row r="79" spans="3:13" x14ac:dyDescent="0.3">
      <c r="C79" s="44" t="s">
        <v>121</v>
      </c>
      <c r="D79" s="1">
        <f t="shared" ref="D79:M79" si="21">D78+D77</f>
        <v>76974</v>
      </c>
      <c r="E79" s="1">
        <f t="shared" si="21"/>
        <v>81210</v>
      </c>
      <c r="F79" s="1">
        <f t="shared" si="21"/>
        <v>83715</v>
      </c>
      <c r="G79" s="1">
        <f t="shared" si="21"/>
        <v>111070</v>
      </c>
      <c r="H79" s="1">
        <f t="shared" si="21"/>
        <v>139549</v>
      </c>
      <c r="I79" s="1">
        <f t="shared" si="21"/>
        <v>167988.0762947945</v>
      </c>
      <c r="J79" s="1">
        <f t="shared" si="21"/>
        <v>200385.86917660272</v>
      </c>
      <c r="K79" s="1">
        <f t="shared" si="21"/>
        <v>239107.73143838299</v>
      </c>
      <c r="L79" s="1">
        <f t="shared" si="21"/>
        <v>275177.61606676242</v>
      </c>
      <c r="M79" s="1">
        <f t="shared" si="21"/>
        <v>326519.99481267034</v>
      </c>
    </row>
    <row r="81" spans="3:13" x14ac:dyDescent="0.3">
      <c r="C81" s="10" t="s">
        <v>122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3" spans="3:13" x14ac:dyDescent="0.3">
      <c r="C83" s="10" t="s">
        <v>123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3:13" x14ac:dyDescent="0.3">
      <c r="C84" s="16" t="s">
        <v>124</v>
      </c>
      <c r="D84" s="12">
        <v>5100</v>
      </c>
      <c r="E84" s="12">
        <v>5904</v>
      </c>
      <c r="F84" s="12">
        <v>6567</v>
      </c>
      <c r="G84" s="12">
        <v>7117</v>
      </c>
      <c r="H84" s="12">
        <v>7538</v>
      </c>
      <c r="I84" s="17">
        <f>I8/365*Assumptions!I26</f>
        <v>8178.8646575342473</v>
      </c>
      <c r="J84" s="17">
        <f>J8/365*Assumptions!J26</f>
        <v>8996.7511232876732</v>
      </c>
      <c r="K84" s="17">
        <f>K8/365*Assumptions!K26</f>
        <v>9896.42623561644</v>
      </c>
      <c r="L84" s="17">
        <f>L8/365*Assumptions!L26</f>
        <v>10688.140334465756</v>
      </c>
      <c r="M84" s="17">
        <f>M8/365*Assumptions!M26</f>
        <v>11543.191561223017</v>
      </c>
    </row>
    <row r="85" spans="3:13" x14ac:dyDescent="0.3">
      <c r="C85" s="14" t="s">
        <v>125</v>
      </c>
      <c r="D85" s="1">
        <v>7805</v>
      </c>
      <c r="E85" s="1">
        <v>9601</v>
      </c>
      <c r="F85" s="1">
        <v>9825</v>
      </c>
      <c r="G85" s="1">
        <v>10531</v>
      </c>
      <c r="H85" s="1">
        <v>11342</v>
      </c>
      <c r="I85" s="1">
        <f>I11/365*Assumptions!I27</f>
        <v>13449.688547945207</v>
      </c>
      <c r="J85" s="1">
        <f>J11/365*Assumptions!J27</f>
        <v>15719.323490410961</v>
      </c>
      <c r="K85" s="1">
        <f>K11/365*Assumptions!K27</f>
        <v>17291.255839452057</v>
      </c>
      <c r="L85" s="1">
        <f>L11/365*Assumptions!L27</f>
        <v>18169.838568591786</v>
      </c>
      <c r="M85" s="1">
        <f>M11/365*Assumptions!M27</f>
        <v>19623.425654079125</v>
      </c>
    </row>
    <row r="86" spans="3:13" x14ac:dyDescent="0.3">
      <c r="C86" s="16" t="s">
        <v>126</v>
      </c>
      <c r="D86" s="12">
        <v>3902</v>
      </c>
      <c r="E86" s="12">
        <v>4800</v>
      </c>
      <c r="F86" s="12">
        <v>4912</v>
      </c>
      <c r="G86" s="12">
        <v>5266</v>
      </c>
      <c r="H86" s="12">
        <v>5670</v>
      </c>
      <c r="I86" s="17">
        <f>I11/365*Assumptions!I28</f>
        <v>6388.6020602739736</v>
      </c>
      <c r="J86" s="17">
        <f>J11/365*Assumptions!J28</f>
        <v>7027.4622663013715</v>
      </c>
      <c r="K86" s="17">
        <f>K11/365*Assumptions!K28</f>
        <v>7730.2084929315079</v>
      </c>
      <c r="L86" s="17">
        <f>L11/365*Assumptions!L28</f>
        <v>8122.9866541939746</v>
      </c>
      <c r="M86" s="17">
        <f>M11/365*Assumptions!M28</f>
        <v>8772.8255865294923</v>
      </c>
    </row>
    <row r="87" spans="3:13" x14ac:dyDescent="0.3">
      <c r="C87" s="44" t="s">
        <v>127</v>
      </c>
      <c r="D87" s="1">
        <f t="shared" ref="D87:M87" si="22">D84+D85-D86</f>
        <v>9003</v>
      </c>
      <c r="E87" s="1">
        <f t="shared" si="22"/>
        <v>10705</v>
      </c>
      <c r="F87" s="1">
        <f t="shared" si="22"/>
        <v>11480</v>
      </c>
      <c r="G87" s="1">
        <f t="shared" si="22"/>
        <v>12382</v>
      </c>
      <c r="H87" s="1">
        <f t="shared" si="22"/>
        <v>13210</v>
      </c>
      <c r="I87" s="1">
        <f t="shared" si="22"/>
        <v>15239.951145205479</v>
      </c>
      <c r="J87" s="1">
        <f t="shared" si="22"/>
        <v>17688.612347397262</v>
      </c>
      <c r="K87" s="1">
        <f t="shared" si="22"/>
        <v>19457.47358213699</v>
      </c>
      <c r="L87" s="1">
        <f t="shared" si="22"/>
        <v>20734.992248863568</v>
      </c>
      <c r="M87" s="1">
        <f t="shared" si="22"/>
        <v>22393.791628772648</v>
      </c>
    </row>
    <row r="88" spans="3:13" x14ac:dyDescent="0.3">
      <c r="C88" s="16" t="s">
        <v>128</v>
      </c>
      <c r="D88" s="12">
        <v>9003</v>
      </c>
      <c r="E88" s="12">
        <f t="shared" ref="E88:M88" si="23">E87-D87</f>
        <v>1702</v>
      </c>
      <c r="F88" s="12">
        <f t="shared" si="23"/>
        <v>775</v>
      </c>
      <c r="G88" s="12">
        <f t="shared" si="23"/>
        <v>902</v>
      </c>
      <c r="H88" s="12">
        <f t="shared" si="23"/>
        <v>828</v>
      </c>
      <c r="I88" s="17">
        <f t="shared" si="23"/>
        <v>2029.9511452054794</v>
      </c>
      <c r="J88" s="17">
        <f t="shared" si="23"/>
        <v>2448.6612021917826</v>
      </c>
      <c r="K88" s="17">
        <f t="shared" si="23"/>
        <v>1768.8612347397284</v>
      </c>
      <c r="L88" s="17">
        <f t="shared" si="23"/>
        <v>1277.5186667265771</v>
      </c>
      <c r="M88" s="17">
        <f t="shared" si="23"/>
        <v>1658.79937990908</v>
      </c>
    </row>
    <row r="90" spans="3:13" x14ac:dyDescent="0.3">
      <c r="C90" s="10" t="s">
        <v>129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3:13" x14ac:dyDescent="0.3">
      <c r="C91" s="14" t="s">
        <v>130</v>
      </c>
      <c r="D91" s="1">
        <v>50000</v>
      </c>
      <c r="E91" s="1">
        <v>45500</v>
      </c>
      <c r="F91" s="1">
        <v>42350</v>
      </c>
      <c r="G91" s="1">
        <v>40145</v>
      </c>
      <c r="H91" s="1">
        <v>38601</v>
      </c>
      <c r="I91" s="15">
        <f>H94</f>
        <v>37521</v>
      </c>
      <c r="J91" s="15">
        <f>I94</f>
        <v>39388.65</v>
      </c>
      <c r="K91" s="15">
        <f>J94</f>
        <v>41602.622499999998</v>
      </c>
      <c r="L91" s="15">
        <f>K94</f>
        <v>43041.704624999998</v>
      </c>
      <c r="M91" s="15">
        <f>L94</f>
        <v>44977.108006249997</v>
      </c>
    </row>
    <row r="92" spans="3:13" x14ac:dyDescent="0.3">
      <c r="C92" s="16" t="s">
        <v>131</v>
      </c>
      <c r="D92" s="12">
        <v>15000</v>
      </c>
      <c r="E92" s="12">
        <v>15000</v>
      </c>
      <c r="F92" s="12">
        <v>15000</v>
      </c>
      <c r="G92" s="12">
        <v>15000</v>
      </c>
      <c r="H92" s="12">
        <v>15000</v>
      </c>
      <c r="I92" s="13">
        <f>Assumptions!I23</f>
        <v>15000</v>
      </c>
      <c r="J92" s="13">
        <f>Assumptions!J23</f>
        <v>16000</v>
      </c>
      <c r="K92" s="13">
        <f>Assumptions!K23</f>
        <v>16000</v>
      </c>
      <c r="L92" s="13">
        <f>Assumptions!L23</f>
        <v>17000</v>
      </c>
      <c r="M92" s="13">
        <f>Assumptions!M23</f>
        <v>17000</v>
      </c>
    </row>
    <row r="93" spans="3:13" x14ac:dyDescent="0.3">
      <c r="C93" s="44" t="s">
        <v>132</v>
      </c>
      <c r="D93" s="1">
        <v>19500</v>
      </c>
      <c r="E93" s="1">
        <v>18150</v>
      </c>
      <c r="F93" s="1">
        <v>17205</v>
      </c>
      <c r="G93" s="1">
        <v>16544</v>
      </c>
      <c r="H93" s="1">
        <v>16080</v>
      </c>
      <c r="I93" s="1">
        <f>I91*Assumptions!I22</f>
        <v>13132.349999999999</v>
      </c>
      <c r="J93" s="1">
        <f>J91*Assumptions!J22</f>
        <v>13786.0275</v>
      </c>
      <c r="K93" s="1">
        <f>K91*Assumptions!K22</f>
        <v>14560.917874999997</v>
      </c>
      <c r="L93" s="1">
        <f>L91*Assumptions!L22</f>
        <v>15064.596618749998</v>
      </c>
      <c r="M93" s="1">
        <f>M91*Assumptions!M22</f>
        <v>15741.987802187497</v>
      </c>
    </row>
    <row r="94" spans="3:13" x14ac:dyDescent="0.3">
      <c r="C94" s="37" t="s">
        <v>133</v>
      </c>
      <c r="D94" s="12">
        <f t="shared" ref="D94:M94" si="24">D91+D92-D93</f>
        <v>45500</v>
      </c>
      <c r="E94" s="12">
        <f t="shared" si="24"/>
        <v>42350</v>
      </c>
      <c r="F94" s="12">
        <f t="shared" si="24"/>
        <v>40145</v>
      </c>
      <c r="G94" s="12">
        <f t="shared" si="24"/>
        <v>38601</v>
      </c>
      <c r="H94" s="12">
        <f t="shared" si="24"/>
        <v>37521</v>
      </c>
      <c r="I94" s="17">
        <f t="shared" si="24"/>
        <v>39388.65</v>
      </c>
      <c r="J94" s="17">
        <f t="shared" si="24"/>
        <v>41602.622499999998</v>
      </c>
      <c r="K94" s="17">
        <f t="shared" si="24"/>
        <v>43041.704624999998</v>
      </c>
      <c r="L94" s="17">
        <f t="shared" si="24"/>
        <v>44977.108006249997</v>
      </c>
      <c r="M94" s="17">
        <f t="shared" si="24"/>
        <v>46235.120204062499</v>
      </c>
    </row>
    <row r="96" spans="3:13" x14ac:dyDescent="0.3">
      <c r="C96" s="10" t="s">
        <v>134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spans="3:13" x14ac:dyDescent="0.3">
      <c r="C97" s="14" t="s">
        <v>135</v>
      </c>
      <c r="D97" s="1">
        <v>50000</v>
      </c>
      <c r="E97" s="1">
        <v>50000</v>
      </c>
      <c r="F97" s="1">
        <v>50000</v>
      </c>
      <c r="G97" s="1">
        <v>30000</v>
      </c>
      <c r="H97" s="1">
        <v>30000</v>
      </c>
      <c r="I97" s="15">
        <f>H99</f>
        <v>30000</v>
      </c>
      <c r="J97" s="15">
        <f>I99</f>
        <v>30000</v>
      </c>
      <c r="K97" s="15">
        <f>J99</f>
        <v>30000</v>
      </c>
      <c r="L97" s="15">
        <f>K99</f>
        <v>30000</v>
      </c>
      <c r="M97" s="15">
        <f>L99</f>
        <v>20000</v>
      </c>
    </row>
    <row r="98" spans="3:13" x14ac:dyDescent="0.3">
      <c r="C98" s="16" t="s">
        <v>136</v>
      </c>
      <c r="D98" s="12">
        <v>0</v>
      </c>
      <c r="E98" s="12">
        <v>0</v>
      </c>
      <c r="F98" s="12">
        <v>-20000</v>
      </c>
      <c r="G98" s="12">
        <v>0</v>
      </c>
      <c r="H98" s="12">
        <v>0</v>
      </c>
      <c r="I98" s="13">
        <f>Assumptions!I33</f>
        <v>0</v>
      </c>
      <c r="J98" s="13">
        <f>Assumptions!J33</f>
        <v>0</v>
      </c>
      <c r="K98" s="13">
        <f>Assumptions!K33</f>
        <v>0</v>
      </c>
      <c r="L98" s="13">
        <f>Assumptions!L33</f>
        <v>-10000</v>
      </c>
      <c r="M98" s="13">
        <f>Assumptions!M33</f>
        <v>0</v>
      </c>
    </row>
    <row r="99" spans="3:13" x14ac:dyDescent="0.3">
      <c r="C99" s="44" t="s">
        <v>137</v>
      </c>
      <c r="D99" s="1">
        <f t="shared" ref="D99:M99" si="25">D97+D98</f>
        <v>50000</v>
      </c>
      <c r="E99" s="1">
        <f t="shared" si="25"/>
        <v>50000</v>
      </c>
      <c r="F99" s="1">
        <f t="shared" si="25"/>
        <v>30000</v>
      </c>
      <c r="G99" s="1">
        <f t="shared" si="25"/>
        <v>30000</v>
      </c>
      <c r="H99" s="1">
        <f t="shared" si="25"/>
        <v>30000</v>
      </c>
      <c r="I99" s="1">
        <f t="shared" si="25"/>
        <v>30000</v>
      </c>
      <c r="J99" s="1">
        <f t="shared" si="25"/>
        <v>30000</v>
      </c>
      <c r="K99" s="1">
        <f t="shared" si="25"/>
        <v>30000</v>
      </c>
      <c r="L99" s="1">
        <f t="shared" si="25"/>
        <v>20000</v>
      </c>
      <c r="M99" s="1">
        <f t="shared" si="25"/>
        <v>20000</v>
      </c>
    </row>
    <row r="100" spans="3:13" x14ac:dyDescent="0.3">
      <c r="C100" s="38" t="s">
        <v>81</v>
      </c>
      <c r="D100" s="12">
        <v>2500</v>
      </c>
      <c r="E100" s="12">
        <v>2500</v>
      </c>
      <c r="F100" s="12">
        <v>1500</v>
      </c>
      <c r="G100" s="12">
        <v>1500</v>
      </c>
      <c r="H100" s="12">
        <v>1500</v>
      </c>
      <c r="I100" s="17">
        <f>I97*Assumptions!I31</f>
        <v>2100</v>
      </c>
      <c r="J100" s="17">
        <f>J97*Assumptions!J31</f>
        <v>2100</v>
      </c>
      <c r="K100" s="17">
        <f>K97*Assumptions!K31</f>
        <v>2100</v>
      </c>
      <c r="L100" s="17">
        <f>L97*Assumptions!L31</f>
        <v>2100</v>
      </c>
      <c r="M100" s="17">
        <f>M97*Assumptions!M31</f>
        <v>1400.0000000000002</v>
      </c>
    </row>
  </sheetData>
  <mergeCells count="16">
    <mergeCell ref="C90:M90"/>
    <mergeCell ref="C96:M96"/>
    <mergeCell ref="C60:M60"/>
    <mergeCell ref="C68:M68"/>
    <mergeCell ref="C72:M72"/>
    <mergeCell ref="C81:M81"/>
    <mergeCell ref="C83:M83"/>
    <mergeCell ref="C15:M15"/>
    <mergeCell ref="C35:M35"/>
    <mergeCell ref="C44:M44"/>
    <mergeCell ref="C58:M58"/>
    <mergeCell ref="A1:M1"/>
    <mergeCell ref="A2:M2"/>
    <mergeCell ref="D4:H4"/>
    <mergeCell ref="I4:M4"/>
    <mergeCell ref="C7:M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Nathan Gregory Wallis</cp:lastModifiedBy>
  <cp:revision>0</cp:revision>
  <dcterms:created xsi:type="dcterms:W3CDTF">2026-06-04T04:00:06Z</dcterms:created>
  <dcterms:modified xsi:type="dcterms:W3CDTF">2026-06-04T07:05:12Z</dcterms:modified>
  <dc:language>en-US</dc:language>
</cp:coreProperties>
</file>