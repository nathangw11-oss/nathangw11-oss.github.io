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tha\Documents\Projects\Business Case\"/>
    </mc:Choice>
  </mc:AlternateContent>
  <xr:revisionPtr revIDLastSave="0" documentId="8_{01A7A81F-5284-49F9-B211-B7EF023B296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ver" sheetId="1" r:id="rId1"/>
    <sheet name="Assumptions" sheetId="2" r:id="rId2"/>
    <sheet name="Cost-Benefit" sheetId="3" r:id="rId3"/>
    <sheet name="Scenario Analysis" sheetId="4" r:id="rId4"/>
    <sheet name="Exec Dashboard" sheetId="5" r:id="rId5"/>
    <sheet name="Audit Check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3" l="1"/>
  <c r="E17" i="3" s="1"/>
  <c r="C14" i="6"/>
  <c r="C8" i="6"/>
  <c r="D8" i="6" s="1"/>
  <c r="B9" i="5"/>
  <c r="K6" i="5"/>
  <c r="E12" i="4"/>
  <c r="D12" i="4"/>
  <c r="C12" i="4"/>
  <c r="F12" i="4" s="1"/>
  <c r="E11" i="4"/>
  <c r="D11" i="4"/>
  <c r="C11" i="4"/>
  <c r="F11" i="4" s="1"/>
  <c r="E9" i="4"/>
  <c r="D9" i="4"/>
  <c r="C9" i="4"/>
  <c r="F9" i="4" s="1"/>
  <c r="E8" i="4"/>
  <c r="E10" i="4" s="1"/>
  <c r="D8" i="4"/>
  <c r="D10" i="4" s="1"/>
  <c r="C8" i="4"/>
  <c r="E7" i="4"/>
  <c r="D7" i="4"/>
  <c r="C7" i="4"/>
  <c r="E6" i="4"/>
  <c r="D6" i="4"/>
  <c r="C6" i="4"/>
  <c r="C40" i="3"/>
  <c r="C17" i="6" s="1"/>
  <c r="J30" i="3"/>
  <c r="I30" i="3"/>
  <c r="H30" i="3"/>
  <c r="G30" i="3"/>
  <c r="F30" i="3"/>
  <c r="E30" i="3"/>
  <c r="D30" i="3"/>
  <c r="J25" i="3"/>
  <c r="I25" i="3"/>
  <c r="H25" i="3"/>
  <c r="G25" i="3"/>
  <c r="F25" i="3"/>
  <c r="E25" i="3"/>
  <c r="D25" i="3"/>
  <c r="J24" i="3"/>
  <c r="J26" i="3" s="1"/>
  <c r="I24" i="3"/>
  <c r="H24" i="3"/>
  <c r="G24" i="3"/>
  <c r="F24" i="3"/>
  <c r="E24" i="3"/>
  <c r="D24" i="3"/>
  <c r="J23" i="3"/>
  <c r="I23" i="3"/>
  <c r="H23" i="3"/>
  <c r="H26" i="3" s="1"/>
  <c r="G23" i="3"/>
  <c r="F23" i="3"/>
  <c r="E23" i="3"/>
  <c r="E26" i="3" s="1"/>
  <c r="D23" i="3"/>
  <c r="D26" i="3" s="1"/>
  <c r="H17" i="3"/>
  <c r="D17" i="3"/>
  <c r="J16" i="3"/>
  <c r="I16" i="3"/>
  <c r="H16" i="3"/>
  <c r="G16" i="3"/>
  <c r="F16" i="3"/>
  <c r="E16" i="3"/>
  <c r="J15" i="3"/>
  <c r="I15" i="3"/>
  <c r="I17" i="3" s="1"/>
  <c r="H15" i="3"/>
  <c r="G15" i="3"/>
  <c r="G17" i="3" s="1"/>
  <c r="F15" i="3"/>
  <c r="F17" i="3" s="1"/>
  <c r="J12" i="3"/>
  <c r="I12" i="3"/>
  <c r="H12" i="3"/>
  <c r="G12" i="3"/>
  <c r="F12" i="3"/>
  <c r="E12" i="3"/>
  <c r="D10" i="3"/>
  <c r="D9" i="3"/>
  <c r="D8" i="3"/>
  <c r="G26" i="3" l="1"/>
  <c r="C9" i="6"/>
  <c r="D9" i="6" s="1"/>
  <c r="F7" i="4"/>
  <c r="I26" i="3"/>
  <c r="F26" i="3"/>
  <c r="J14" i="5" s="1"/>
  <c r="C10" i="4"/>
  <c r="F10" i="4" s="1"/>
  <c r="J17" i="3"/>
  <c r="J20" i="3" s="1"/>
  <c r="I15" i="5" s="1"/>
  <c r="H20" i="3"/>
  <c r="G15" i="5" s="1"/>
  <c r="F6" i="4"/>
  <c r="K17" i="3"/>
  <c r="E20" i="3"/>
  <c r="D15" i="5" s="1"/>
  <c r="F14" i="5"/>
  <c r="H14" i="5"/>
  <c r="I14" i="5"/>
  <c r="F20" i="3"/>
  <c r="E15" i="5" s="1"/>
  <c r="G20" i="3"/>
  <c r="F15" i="5" s="1"/>
  <c r="I20" i="3"/>
  <c r="H15" i="5" s="1"/>
  <c r="D11" i="3"/>
  <c r="D12" i="3" s="1"/>
  <c r="D14" i="5"/>
  <c r="C14" i="5"/>
  <c r="F8" i="4"/>
  <c r="G14" i="5"/>
  <c r="K26" i="3"/>
  <c r="E14" i="5" l="1"/>
  <c r="F29" i="3"/>
  <c r="H29" i="3"/>
  <c r="I29" i="3"/>
  <c r="E29" i="3"/>
  <c r="D20" i="3"/>
  <c r="K12" i="3"/>
  <c r="K20" i="3" s="1"/>
  <c r="C39" i="3" s="1"/>
  <c r="I31" i="3"/>
  <c r="H17" i="5" s="1"/>
  <c r="H16" i="5"/>
  <c r="E16" i="5"/>
  <c r="F31" i="3"/>
  <c r="E17" i="5" s="1"/>
  <c r="C6" i="6"/>
  <c r="D6" i="6" s="1"/>
  <c r="C37" i="3"/>
  <c r="J29" i="3"/>
  <c r="G29" i="3"/>
  <c r="G16" i="5" l="1"/>
  <c r="H31" i="3"/>
  <c r="G17" i="5" s="1"/>
  <c r="E31" i="3"/>
  <c r="D17" i="5" s="1"/>
  <c r="D16" i="5"/>
  <c r="F16" i="5"/>
  <c r="G31" i="3"/>
  <c r="F17" i="5" s="1"/>
  <c r="J31" i="3"/>
  <c r="I17" i="5" s="1"/>
  <c r="I16" i="5"/>
  <c r="C7" i="6"/>
  <c r="D7" i="6" s="1"/>
  <c r="C38" i="3"/>
  <c r="C10" i="6"/>
  <c r="D10" i="6" s="1"/>
  <c r="H6" i="5"/>
  <c r="C15" i="5"/>
  <c r="J15" i="5"/>
  <c r="D29" i="3"/>
  <c r="D31" i="3" l="1"/>
  <c r="C16" i="5"/>
  <c r="D32" i="3"/>
  <c r="J16" i="5"/>
  <c r="K29" i="3"/>
  <c r="C36" i="3"/>
  <c r="C16" i="6" l="1"/>
  <c r="E6" i="5"/>
  <c r="C18" i="5"/>
  <c r="E32" i="3"/>
  <c r="J17" i="5"/>
  <c r="C17" i="5"/>
  <c r="C35" i="3"/>
  <c r="F32" i="3" l="1"/>
  <c r="D18" i="5"/>
  <c r="C15" i="6"/>
  <c r="B6" i="5"/>
  <c r="G32" i="3" l="1"/>
  <c r="E18" i="5"/>
  <c r="H32" i="3" l="1"/>
  <c r="F18" i="5"/>
  <c r="I32" i="3" l="1"/>
  <c r="G18" i="5"/>
  <c r="J32" i="3" l="1"/>
  <c r="H18" i="5"/>
  <c r="J18" i="5" l="1"/>
  <c r="I18" i="5"/>
</calcChain>
</file>

<file path=xl/sharedStrings.xml><?xml version="1.0" encoding="utf-8"?>
<sst xmlns="http://schemas.openxmlformats.org/spreadsheetml/2006/main" count="194" uniqueCount="158">
  <si>
    <t>Digital Transformation
Business Case Model</t>
  </si>
  <si>
    <t>Department</t>
  </si>
  <si>
    <t>Customer Service – Corporate Finance</t>
  </si>
  <si>
    <t>Team</t>
  </si>
  <si>
    <t>Commercial Evaluation &amp; Advisory</t>
  </si>
  <si>
    <t>Prepared by</t>
  </si>
  <si>
    <t>Date</t>
  </si>
  <si>
    <t>June 2026</t>
  </si>
  <si>
    <t>Model Version</t>
  </si>
  <si>
    <t>v1.0</t>
  </si>
  <si>
    <t>Status</t>
  </si>
  <si>
    <t>DRAFT – FOR REVIEW</t>
  </si>
  <si>
    <t>Model Navigation</t>
  </si>
  <si>
    <t>This page – model overview and version control</t>
  </si>
  <si>
    <t>All input assumptions and scenario controls</t>
  </si>
  <si>
    <t>Year-by-year CBA, NPV, IRR, Payback Period</t>
  </si>
  <si>
    <t>Scenario comparison and sensitivity data tables</t>
  </si>
  <si>
    <t>One-page executive summary for presentations</t>
  </si>
  <si>
    <t>Model integrity and error checks</t>
  </si>
  <si>
    <t>Colour Convention</t>
  </si>
  <si>
    <t xml:space="preserve">  ██ </t>
  </si>
  <si>
    <t>Blue text  – hardcoded input assumption</t>
  </si>
  <si>
    <t>Green text – cross-sheet link</t>
  </si>
  <si>
    <t>Black text – formula / calculation</t>
  </si>
  <si>
    <t>Red text   – external link</t>
  </si>
  <si>
    <t>Yellow bg  – key cell requiring attention</t>
  </si>
  <si>
    <t>SCENARIO SELECTOR</t>
  </si>
  <si>
    <t>Active Scenario:</t>
  </si>
  <si>
    <t>Base Case</t>
  </si>
  <si>
    <t>← Change: Conservative / Base Case / Optimistic</t>
  </si>
  <si>
    <t>Assumption</t>
  </si>
  <si>
    <t>Conservative</t>
  </si>
  <si>
    <t>Optimistic</t>
  </si>
  <si>
    <t>A.  PROJECT PARAMETERS</t>
  </si>
  <si>
    <t>Analysis Horizon (Years)</t>
  </si>
  <si>
    <t>Project Start Year</t>
  </si>
  <si>
    <t>Discount Rate (WACC)</t>
  </si>
  <si>
    <t>Inflation Rate</t>
  </si>
  <si>
    <t>B.  IMPLEMENTATION COSTS  ($000s)</t>
  </si>
  <si>
    <t>Technology / Software ($000s)</t>
  </si>
  <si>
    <t>Implementation &amp; Integration ($000s)</t>
  </si>
  <si>
    <t>Change Management &amp; Training ($000s)</t>
  </si>
  <si>
    <t>Contingency %</t>
  </si>
  <si>
    <t>C.  ONGOING / OPERATING COSTS  ($000s p.a.)</t>
  </si>
  <si>
    <t>Annual Licence / Maintenance ($000s)</t>
  </si>
  <si>
    <t>Support &amp; IT Overhead ($000s)</t>
  </si>
  <si>
    <t>Cost Escalation Rate (p.a.)</t>
  </si>
  <si>
    <t>D.  QUANTIFIED BENEFITS  ($000s p.a.)</t>
  </si>
  <si>
    <t>FTE Efficiency Savings ($000s p.a.)</t>
  </si>
  <si>
    <t>Process Automation Savings ($000s p.a.)</t>
  </si>
  <si>
    <t>Error Reduction / Rework Savings ($000s)</t>
  </si>
  <si>
    <t>Benefit Ramp-Up (Year 1 %)</t>
  </si>
  <si>
    <t>Benefit Ramp-Up (Year 2 %)</t>
  </si>
  <si>
    <t>Full Benefits from Year</t>
  </si>
  <si>
    <t>Benefit Growth Rate (p.a.)</t>
  </si>
  <si>
    <t xml:space="preserve">  ✓  Improved executive reporting and data quality</t>
  </si>
  <si>
    <t xml:space="preserve">  ✓  Reduced compliance and audit risk</t>
  </si>
  <si>
    <t xml:space="preserve">  ✓  Enhanced cross-divisional collaboration</t>
  </si>
  <si>
    <t xml:space="preserve">  ✓  Scalable platform to support future headcount growth</t>
  </si>
  <si>
    <t xml:space="preserve">  ✓  Positioned for future AI/analytics capability uplift</t>
  </si>
  <si>
    <t>Line Item</t>
  </si>
  <si>
    <t>Unit</t>
  </si>
  <si>
    <t>TOTAL / NPV</t>
  </si>
  <si>
    <t xml:space="preserve">  SECTION 1 — IMPLEMENTATION COSTS  ($000s)</t>
  </si>
  <si>
    <t>Technology / Software</t>
  </si>
  <si>
    <t>$000s</t>
  </si>
  <si>
    <t>Implementation &amp; Integration</t>
  </si>
  <si>
    <t>Change Management &amp; Training</t>
  </si>
  <si>
    <t>Contingency</t>
  </si>
  <si>
    <t>TOTAL IMPLEMENTATION COSTS</t>
  </si>
  <si>
    <t xml:space="preserve">  SECTION 2 — ONGOING OPERATING COSTS  ($000s p.a.)</t>
  </si>
  <si>
    <t>Annual Licence / Maintenance</t>
  </si>
  <si>
    <t>Support &amp; IT Overhead</t>
  </si>
  <si>
    <t>TOTAL ONGOING COSTS</t>
  </si>
  <si>
    <t xml:space="preserve">  TOTAL COSTS (Implementation + Ongoing)</t>
  </si>
  <si>
    <t>TOTAL COSTS</t>
  </si>
  <si>
    <t xml:space="preserve">  SECTION 3 — QUANTIFIED BENEFITS  ($000s p.a.)</t>
  </si>
  <si>
    <t>FTE Efficiency Savings</t>
  </si>
  <si>
    <t>Process Automation Savings</t>
  </si>
  <si>
    <t>Error Reduction / Rework Savings</t>
  </si>
  <si>
    <t>TOTAL BENEFITS</t>
  </si>
  <si>
    <t xml:space="preserve">  SECTION 4 — NET CASH FLOW &amp; DISCOUNTED CASH FLOW</t>
  </si>
  <si>
    <t>Net Cash Flow (Benefits – Costs)</t>
  </si>
  <si>
    <t>Discount Factor</t>
  </si>
  <si>
    <t>x</t>
  </si>
  <si>
    <t>PV of Net Cash Flow</t>
  </si>
  <si>
    <t>Cumulative Net Cash Flow</t>
  </si>
  <si>
    <t xml:space="preserve">  KEY INVESTMENT METRICS</t>
  </si>
  <si>
    <t>Net Present Value (NPV)</t>
  </si>
  <si>
    <t>Internal Rate of Return (IRR)</t>
  </si>
  <si>
    <t>%</t>
  </si>
  <si>
    <t>Total Undiscounted Benefits</t>
  </si>
  <si>
    <t>Total Undiscounted Costs</t>
  </si>
  <si>
    <t>Benefit-Cost Ratio</t>
  </si>
  <si>
    <t>Payback Period (approx.)</t>
  </si>
  <si>
    <t>years</t>
  </si>
  <si>
    <t>PART A — THREE-SCENARIO COMPARISON</t>
  </si>
  <si>
    <t>Metric</t>
  </si>
  <si>
    <t>Swing (High–Low)</t>
  </si>
  <si>
    <t>NPV ($000s)</t>
  </si>
  <si>
    <t>Total Benefits ($000s)</t>
  </si>
  <si>
    <t>Total Costs ($000s)</t>
  </si>
  <si>
    <t>Discount Rate</t>
  </si>
  <si>
    <t>FTE Savings p.a. ($000s)</t>
  </si>
  <si>
    <t>Implementation Cost ($000s)</t>
  </si>
  <si>
    <t>PART B — SENSITIVITY ANALYSIS  |  NPV vs. Discount Rate &amp; Benefit Realisation</t>
  </si>
  <si>
    <t>DR →  /  Ben. %  ↓</t>
  </si>
  <si>
    <t>PART C — TORNADO CHART DATA  |  NPV Impact of ±10% on Key Assumptions</t>
  </si>
  <si>
    <t>Low (–10%)</t>
  </si>
  <si>
    <t>High (+10%)</t>
  </si>
  <si>
    <t>Swing</t>
  </si>
  <si>
    <t>Implementation Cost</t>
  </si>
  <si>
    <t>Benefit Realisation %</t>
  </si>
  <si>
    <t>Annual Licence Cost</t>
  </si>
  <si>
    <t>Digital Transformation  |  Executive Investment Summary</t>
  </si>
  <si>
    <t>NPV</t>
  </si>
  <si>
    <t>IRR</t>
  </si>
  <si>
    <t>BCR</t>
  </si>
  <si>
    <t>Payback</t>
  </si>
  <si>
    <t>Net Present Value ($000s)</t>
  </si>
  <si>
    <t>Internal Rate of Return</t>
  </si>
  <si>
    <t>Payback Period</t>
  </si>
  <si>
    <t>ANNUAL CASH FLOW SUMMARY  ($000s)</t>
  </si>
  <si>
    <t>TOTAL</t>
  </si>
  <si>
    <t>Total Benefits</t>
  </si>
  <si>
    <t>Total Costs</t>
  </si>
  <si>
    <t>Net Cash Flow</t>
  </si>
  <si>
    <t>PV Cash Flow</t>
  </si>
  <si>
    <t>Cumulative NCF</t>
  </si>
  <si>
    <t>EXECUTIVE RECOMMENDATION</t>
  </si>
  <si>
    <t>STRUCTURAL CHECKS</t>
  </si>
  <si>
    <t>Check Description</t>
  </si>
  <si>
    <t>Formula / Result</t>
  </si>
  <si>
    <t>Total Benefits &gt; 0 (Base Case)</t>
  </si>
  <si>
    <t>Total Costs &gt; 0</t>
  </si>
  <si>
    <t>Discount Rate is between 1%-20%</t>
  </si>
  <si>
    <t>No negative discount factors</t>
  </si>
  <si>
    <t>BCR &gt; 1 (value accretive – Base)</t>
  </si>
  <si>
    <t>MODEL SUMMARY</t>
  </si>
  <si>
    <t>Active Scenario</t>
  </si>
  <si>
    <t>NPV (Base)</t>
  </si>
  <si>
    <t>IRR (Base)</t>
  </si>
  <si>
    <t>Model Prepared by</t>
  </si>
  <si>
    <t>Last Updated</t>
  </si>
  <si>
    <t>Nathan Wallis</t>
  </si>
  <si>
    <t xml:space="preserve"> MODEL ASSUMPTIONS &amp; CONTROLS</t>
  </si>
  <si>
    <t>Cover</t>
  </si>
  <si>
    <t>Assumptions</t>
  </si>
  <si>
    <t>Cost-Benefit</t>
  </si>
  <si>
    <t>Scenario Analysis</t>
  </si>
  <si>
    <t>Exec Dashboard</t>
  </si>
  <si>
    <t>Audit Checks</t>
  </si>
  <si>
    <t>COST-BENEFIT ANALYSIS  |  Digital Transformation Business Case</t>
  </si>
  <si>
    <t>Active Scenario: see Assumprions tab   |   Discount Rate: see Assumptions tab   |   All figures $000s unless stated</t>
  </si>
  <si>
    <t>E.  STRATEGIC BENEFITS</t>
  </si>
  <si>
    <t>SCENARIO &amp; SENSITIVITY ANALYSIS</t>
  </si>
  <si>
    <t>The Digital Transformation initiative demonstrates a positive NPV under Base and Optimistic scenarios, with a benefit-cost ratio above 1.0x confirming value creation over the analysis horizon. The primary risk is benefit realisation timing, addressed through conservative ramp-up assumptions in Year 1–2. The Board is recommended to approve the investment, subject to phased milestone gates and quarterly benefit tracking against this model.</t>
  </si>
  <si>
    <t>MODEL AUDIT &amp; INTEGRITY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</si>
</sst>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%;\-0.0%;\-"/>
    <numFmt numFmtId="166" formatCode="\$#,##0;&quot;($&quot;#,##0\);\-"/>
    <numFmt numFmtId="167" formatCode="0.000"/>
    <numFmt numFmtId="168" formatCode="0.00\x"/>
  </numFmts>
  <fonts count="30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b/>
      <sz val="12"/>
      <color rgb="FF1F3864"/>
      <name val="Arial"/>
      <charset val="1"/>
    </font>
    <font>
      <b/>
      <sz val="10"/>
      <color rgb="FF2E5FA3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sz val="10"/>
      <color rgb="FFFF0000"/>
      <name val="Arial"/>
      <charset val="1"/>
    </font>
    <font>
      <sz val="10"/>
      <color rgb="FFFFFF00"/>
      <name val="Arial"/>
      <charset val="1"/>
    </font>
    <font>
      <b/>
      <sz val="14"/>
      <color rgb="FFFFFFFF"/>
      <name val="Consolas"/>
      <family val="3"/>
    </font>
    <font>
      <sz val="11"/>
      <color theme="1"/>
      <name val="Consolas"/>
      <family val="3"/>
    </font>
    <font>
      <i/>
      <sz val="9"/>
      <color rgb="FF595959"/>
      <name val="Consolas"/>
      <family val="3"/>
    </font>
    <font>
      <b/>
      <sz val="10"/>
      <color rgb="FFFFFFFF"/>
      <name val="Consolas"/>
      <family val="3"/>
    </font>
    <font>
      <sz val="10"/>
      <color rgb="FF000000"/>
      <name val="Consolas"/>
      <family val="3"/>
    </font>
    <font>
      <sz val="9"/>
      <color rgb="FF595959"/>
      <name val="Consolas"/>
      <family val="3"/>
    </font>
    <font>
      <sz val="10"/>
      <color rgb="FF008000"/>
      <name val="Consolas"/>
      <family val="3"/>
    </font>
    <font>
      <sz val="10"/>
      <color rgb="FF0000FF"/>
      <name val="Consolas"/>
      <family val="3"/>
    </font>
    <font>
      <b/>
      <sz val="10"/>
      <color rgb="FF000000"/>
      <name val="Consolas"/>
      <family val="3"/>
    </font>
    <font>
      <b/>
      <sz val="10"/>
      <name val="Consolas"/>
      <family val="3"/>
    </font>
    <font>
      <b/>
      <sz val="11"/>
      <color rgb="FFFFFFFF"/>
      <name val="Consolas"/>
      <family val="3"/>
    </font>
    <font>
      <b/>
      <sz val="11"/>
      <color rgb="FF1F3864"/>
      <name val="Consolas"/>
      <family val="3"/>
    </font>
    <font>
      <b/>
      <sz val="10"/>
      <color rgb="FF1F3864"/>
      <name val="Consolas"/>
      <family val="3"/>
    </font>
    <font>
      <b/>
      <sz val="10"/>
      <color rgb="FF0000FF"/>
      <name val="Consolas"/>
      <family val="3"/>
    </font>
    <font>
      <sz val="10"/>
      <color rgb="FF595959"/>
      <name val="Consolas"/>
      <family val="3"/>
    </font>
    <font>
      <b/>
      <sz val="10"/>
      <color rgb="FF2E5FA3"/>
      <name val="Consolas"/>
      <family val="3"/>
    </font>
    <font>
      <b/>
      <sz val="11"/>
      <color rgb="FFFF0000"/>
      <name val="Consolas"/>
      <family val="3"/>
    </font>
    <font>
      <b/>
      <sz val="18"/>
      <color rgb="FFFFFFFF"/>
      <name val="Consolas"/>
      <family val="3"/>
    </font>
    <font>
      <b/>
      <sz val="20"/>
      <color rgb="FF1F3864"/>
      <name val="Consolas"/>
      <family val="3"/>
    </font>
    <font>
      <i/>
      <sz val="8"/>
      <color rgb="FF595959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9A84C"/>
        <bgColor rgb="FFFF9900"/>
      </patternFill>
    </fill>
    <fill>
      <patternFill patternType="solid">
        <fgColor rgb="FFD6E4F7"/>
        <bgColor rgb="FFEBF3FC"/>
      </patternFill>
    </fill>
    <fill>
      <patternFill patternType="solid">
        <fgColor rgb="FFFFFFFF"/>
        <bgColor rgb="FFF2F2F2"/>
      </patternFill>
    </fill>
    <fill>
      <patternFill patternType="solid">
        <fgColor rgb="FFEBF3FC"/>
        <bgColor rgb="FFF2F2F2"/>
      </patternFill>
    </fill>
    <fill>
      <patternFill patternType="solid">
        <fgColor rgb="FF2E5FA3"/>
        <bgColor rgb="FF3366FF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BF3FC"/>
      </patternFill>
    </fill>
    <fill>
      <patternFill patternType="solid">
        <fgColor rgb="FF595959"/>
        <bgColor rgb="FF2E5FA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3" borderId="0" xfId="0" applyFill="1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/>
    <xf numFmtId="0" fontId="3" fillId="5" borderId="1" xfId="0" applyFont="1" applyFill="1" applyBorder="1"/>
    <xf numFmtId="0" fontId="7" fillId="5" borderId="1" xfId="0" applyFont="1" applyFill="1" applyBorder="1"/>
    <xf numFmtId="0" fontId="8" fillId="5" borderId="1" xfId="0" applyFont="1" applyFill="1" applyBorder="1"/>
    <xf numFmtId="0" fontId="9" fillId="5" borderId="1" xfId="0" applyFont="1" applyFill="1" applyBorder="1"/>
    <xf numFmtId="17" fontId="3" fillId="5" borderId="1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7" borderId="0" xfId="0" applyFont="1" applyFill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166" fontId="16" fillId="5" borderId="1" xfId="0" applyNumberFormat="1" applyFont="1" applyFill="1" applyBorder="1" applyAlignment="1">
      <alignment horizontal="right" vertical="center"/>
    </xf>
    <xf numFmtId="166" fontId="17" fillId="5" borderId="1" xfId="0" applyNumberFormat="1" applyFont="1" applyFill="1" applyBorder="1" applyAlignment="1">
      <alignment horizontal="right" vertical="center"/>
    </xf>
    <xf numFmtId="0" fontId="18" fillId="9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center" vertical="center" wrapText="1"/>
    </xf>
    <xf numFmtId="166" fontId="19" fillId="9" borderId="1" xfId="0" applyNumberFormat="1" applyFont="1" applyFill="1" applyBorder="1" applyAlignment="1">
      <alignment horizontal="right" vertical="center"/>
    </xf>
    <xf numFmtId="0" fontId="13" fillId="10" borderId="0" xfId="0" applyFont="1" applyFill="1" applyAlignment="1">
      <alignment horizontal="left" vertical="center" wrapText="1"/>
    </xf>
    <xf numFmtId="167" fontId="16" fillId="5" borderId="1" xfId="0" applyNumberFormat="1" applyFont="1" applyFill="1" applyBorder="1" applyAlignment="1">
      <alignment horizontal="right" vertical="center"/>
    </xf>
    <xf numFmtId="0" fontId="20" fillId="7" borderId="0" xfId="0" applyFont="1" applyFill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166" fontId="21" fillId="5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165" fontId="21" fillId="5" borderId="1" xfId="0" applyNumberFormat="1" applyFont="1" applyFill="1" applyBorder="1" applyAlignment="1">
      <alignment horizontal="center" vertical="center"/>
    </xf>
    <xf numFmtId="168" fontId="21" fillId="5" borderId="1" xfId="0" applyNumberFormat="1" applyFont="1" applyFill="1" applyBorder="1" applyAlignment="1">
      <alignment horizontal="center" vertical="center"/>
    </xf>
    <xf numFmtId="49" fontId="21" fillId="5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left" vertical="center" wrapText="1"/>
    </xf>
    <xf numFmtId="0" fontId="12" fillId="0" borderId="0" xfId="0" applyFont="1"/>
    <xf numFmtId="0" fontId="13" fillId="2" borderId="1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7" fillId="5" borderId="1" xfId="0" applyNumberFormat="1" applyFont="1" applyFill="1" applyBorder="1" applyAlignment="1">
      <alignment horizontal="center" vertical="center"/>
    </xf>
    <xf numFmtId="165" fontId="17" fillId="5" borderId="1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 wrapText="1"/>
    </xf>
    <xf numFmtId="166" fontId="25" fillId="6" borderId="1" xfId="0" applyNumberFormat="1" applyFont="1" applyFill="1" applyBorder="1" applyAlignment="1">
      <alignment horizontal="right" vertical="center"/>
    </xf>
    <xf numFmtId="165" fontId="16" fillId="5" borderId="1" xfId="0" applyNumberFormat="1" applyFont="1" applyFill="1" applyBorder="1" applyAlignment="1">
      <alignment horizontal="right" vertical="center"/>
    </xf>
    <xf numFmtId="165" fontId="25" fillId="6" borderId="1" xfId="0" applyNumberFormat="1" applyFont="1" applyFill="1" applyBorder="1" applyAlignment="1">
      <alignment horizontal="right" vertical="center"/>
    </xf>
    <xf numFmtId="168" fontId="16" fillId="5" borderId="1" xfId="0" applyNumberFormat="1" applyFont="1" applyFill="1" applyBorder="1" applyAlignment="1">
      <alignment horizontal="right" vertical="center"/>
    </xf>
    <xf numFmtId="168" fontId="25" fillId="6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center" vertical="center" wrapText="1"/>
    </xf>
    <xf numFmtId="166" fontId="14" fillId="5" borderId="1" xfId="0" applyNumberFormat="1" applyFont="1" applyFill="1" applyBorder="1" applyAlignment="1">
      <alignment horizontal="right" vertical="center"/>
    </xf>
    <xf numFmtId="166" fontId="22" fillId="6" borderId="1" xfId="0" applyNumberFormat="1" applyFont="1" applyFill="1" applyBorder="1" applyAlignment="1">
      <alignment horizontal="right" vertical="center"/>
    </xf>
    <xf numFmtId="0" fontId="26" fillId="0" borderId="0" xfId="0" applyFont="1" applyFill="1" applyAlignment="1">
      <alignment vertical="center" wrapText="1"/>
    </xf>
    <xf numFmtId="0" fontId="11" fillId="0" borderId="0" xfId="0" applyFont="1" applyFill="1"/>
    <xf numFmtId="0" fontId="27" fillId="2" borderId="0" xfId="0" applyFont="1" applyFill="1" applyAlignment="1">
      <alignment horizontal="center" vertical="center" wrapText="1"/>
    </xf>
    <xf numFmtId="0" fontId="11" fillId="3" borderId="0" xfId="0" applyFont="1" applyFill="1"/>
    <xf numFmtId="166" fontId="28" fillId="5" borderId="0" xfId="0" applyNumberFormat="1" applyFont="1" applyFill="1" applyAlignment="1">
      <alignment horizontal="center" vertical="center" wrapText="1"/>
    </xf>
    <xf numFmtId="165" fontId="28" fillId="5" borderId="0" xfId="0" applyNumberFormat="1" applyFont="1" applyFill="1" applyAlignment="1">
      <alignment horizontal="center" vertical="center" wrapText="1"/>
    </xf>
    <xf numFmtId="168" fontId="28" fillId="5" borderId="0" xfId="0" applyNumberFormat="1" applyFont="1" applyFill="1" applyAlignment="1">
      <alignment horizontal="center" vertical="center" wrapText="1"/>
    </xf>
    <xf numFmtId="49" fontId="28" fillId="5" borderId="0" xfId="0" applyNumberFormat="1" applyFont="1" applyFill="1" applyAlignment="1">
      <alignment horizontal="center" vertical="center" wrapText="1"/>
    </xf>
    <xf numFmtId="0" fontId="29" fillId="6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11" fillId="3" borderId="0" xfId="0" applyFont="1" applyFill="1" applyAlignment="1"/>
    <xf numFmtId="0" fontId="14" fillId="6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49" fontId="16" fillId="5" borderId="1" xfId="0" applyNumberFormat="1" applyFont="1" applyFill="1" applyBorder="1" applyAlignment="1">
      <alignment horizontal="left" vertical="center" wrapText="1"/>
    </xf>
    <xf numFmtId="166" fontId="16" fillId="5" borderId="1" xfId="0" applyNumberFormat="1" applyFont="1" applyFill="1" applyBorder="1" applyAlignment="1">
      <alignment horizontal="left" vertical="center" wrapText="1"/>
    </xf>
    <xf numFmtId="165" fontId="16" fillId="5" borderId="1" xfId="0" applyNumberFormat="1" applyFont="1" applyFill="1" applyBorder="1" applyAlignment="1">
      <alignment horizontal="left" vertical="center" wrapText="1"/>
    </xf>
    <xf numFmtId="49" fontId="17" fillId="5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BF3FC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E5FA3"/>
      <color rgb="FFD6E4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3"/>
  <sheetViews>
    <sheetView showGridLines="0" tabSelected="1" zoomScaleNormal="100" workbookViewId="0">
      <selection activeCell="C18" sqref="C18"/>
    </sheetView>
  </sheetViews>
  <sheetFormatPr defaultColWidth="8.6640625" defaultRowHeight="14.4" x14ac:dyDescent="0.3"/>
  <cols>
    <col min="1" max="1" width="3" customWidth="1"/>
    <col min="2" max="2" width="30" customWidth="1"/>
    <col min="3" max="3" width="45" customWidth="1"/>
    <col min="4" max="4" width="20" customWidth="1"/>
    <col min="5" max="5" width="3" customWidth="1"/>
  </cols>
  <sheetData>
    <row r="1" spans="2:4" ht="15.75" customHeight="1" x14ac:dyDescent="0.3"/>
    <row r="2" spans="2:4" ht="15.75" customHeight="1" x14ac:dyDescent="0.3">
      <c r="B2" s="12" t="s">
        <v>0</v>
      </c>
      <c r="C2" s="12"/>
      <c r="D2" s="12"/>
    </row>
    <row r="3" spans="2:4" ht="15.75" customHeight="1" x14ac:dyDescent="0.3">
      <c r="B3" s="12"/>
      <c r="C3" s="12"/>
      <c r="D3" s="12"/>
    </row>
    <row r="4" spans="2:4" ht="15.75" customHeight="1" x14ac:dyDescent="0.3">
      <c r="B4" s="12"/>
      <c r="C4" s="12"/>
      <c r="D4" s="12"/>
    </row>
    <row r="5" spans="2:4" ht="15.75" customHeight="1" x14ac:dyDescent="0.3">
      <c r="B5" s="12"/>
      <c r="C5" s="12"/>
      <c r="D5" s="12"/>
    </row>
    <row r="6" spans="2:4" ht="15.75" customHeight="1" x14ac:dyDescent="0.3">
      <c r="B6" s="12"/>
      <c r="C6" s="12"/>
      <c r="D6" s="12"/>
    </row>
    <row r="7" spans="2:4" ht="15.75" customHeight="1" x14ac:dyDescent="0.3">
      <c r="B7" s="12"/>
      <c r="C7" s="12"/>
      <c r="D7" s="12"/>
    </row>
    <row r="8" spans="2:4" ht="15.75" customHeight="1" x14ac:dyDescent="0.3">
      <c r="B8" s="1"/>
      <c r="C8" s="1"/>
      <c r="D8" s="1"/>
    </row>
    <row r="9" spans="2:4" ht="15.75" customHeight="1" x14ac:dyDescent="0.3"/>
    <row r="10" spans="2:4" ht="18" customHeight="1" x14ac:dyDescent="0.3">
      <c r="B10" s="2" t="s">
        <v>1</v>
      </c>
      <c r="C10" s="3" t="s">
        <v>2</v>
      </c>
    </row>
    <row r="11" spans="2:4" ht="15.75" customHeight="1" x14ac:dyDescent="0.3"/>
    <row r="12" spans="2:4" ht="18" customHeight="1" x14ac:dyDescent="0.3">
      <c r="B12" s="2" t="s">
        <v>3</v>
      </c>
      <c r="C12" s="3" t="s">
        <v>4</v>
      </c>
    </row>
    <row r="13" spans="2:4" ht="15.75" customHeight="1" x14ac:dyDescent="0.3"/>
    <row r="14" spans="2:4" ht="18" customHeight="1" x14ac:dyDescent="0.3">
      <c r="B14" s="2" t="s">
        <v>5</v>
      </c>
      <c r="C14" s="3" t="s">
        <v>144</v>
      </c>
    </row>
    <row r="15" spans="2:4" ht="15.75" customHeight="1" x14ac:dyDescent="0.3"/>
    <row r="16" spans="2:4" ht="18" customHeight="1" x14ac:dyDescent="0.3">
      <c r="B16" s="2" t="s">
        <v>6</v>
      </c>
      <c r="C16" s="11">
        <v>46174</v>
      </c>
    </row>
    <row r="17" spans="2:3" ht="15.75" customHeight="1" x14ac:dyDescent="0.3"/>
    <row r="18" spans="2:3" ht="18" customHeight="1" x14ac:dyDescent="0.3">
      <c r="B18" s="2" t="s">
        <v>8</v>
      </c>
      <c r="C18" s="3" t="s">
        <v>9</v>
      </c>
    </row>
    <row r="19" spans="2:3" ht="15.75" customHeight="1" x14ac:dyDescent="0.3"/>
    <row r="20" spans="2:3" ht="18" customHeight="1" x14ac:dyDescent="0.3">
      <c r="B20" s="2" t="s">
        <v>10</v>
      </c>
      <c r="C20" s="3" t="s">
        <v>11</v>
      </c>
    </row>
    <row r="21" spans="2:3" ht="15.75" customHeight="1" x14ac:dyDescent="0.3"/>
    <row r="22" spans="2:3" ht="15.75" customHeight="1" x14ac:dyDescent="0.3"/>
    <row r="23" spans="2:3" ht="15.75" customHeight="1" x14ac:dyDescent="0.3">
      <c r="B23" s="4" t="s">
        <v>12</v>
      </c>
    </row>
    <row r="24" spans="2:3" ht="15.75" customHeight="1" x14ac:dyDescent="0.3"/>
    <row r="25" spans="2:3" ht="18" customHeight="1" x14ac:dyDescent="0.3">
      <c r="B25" s="5" t="s">
        <v>146</v>
      </c>
      <c r="C25" s="3" t="s">
        <v>13</v>
      </c>
    </row>
    <row r="26" spans="2:3" ht="18" customHeight="1" x14ac:dyDescent="0.3">
      <c r="B26" s="5" t="s">
        <v>147</v>
      </c>
      <c r="C26" s="3" t="s">
        <v>14</v>
      </c>
    </row>
    <row r="27" spans="2:3" ht="18" customHeight="1" x14ac:dyDescent="0.3">
      <c r="B27" s="5" t="s">
        <v>148</v>
      </c>
      <c r="C27" s="3" t="s">
        <v>15</v>
      </c>
    </row>
    <row r="28" spans="2:3" ht="18" customHeight="1" x14ac:dyDescent="0.3">
      <c r="B28" s="5" t="s">
        <v>149</v>
      </c>
      <c r="C28" s="3" t="s">
        <v>16</v>
      </c>
    </row>
    <row r="29" spans="2:3" ht="18" customHeight="1" x14ac:dyDescent="0.3">
      <c r="B29" s="5" t="s">
        <v>150</v>
      </c>
      <c r="C29" s="3" t="s">
        <v>17</v>
      </c>
    </row>
    <row r="30" spans="2:3" ht="18" customHeight="1" x14ac:dyDescent="0.3">
      <c r="B30" s="5" t="s">
        <v>151</v>
      </c>
      <c r="C30" s="3" t="s">
        <v>18</v>
      </c>
    </row>
    <row r="31" spans="2:3" ht="15.75" customHeight="1" x14ac:dyDescent="0.3"/>
    <row r="32" spans="2:3" ht="15.75" customHeight="1" x14ac:dyDescent="0.3"/>
    <row r="33" spans="2:3" ht="15.75" customHeight="1" x14ac:dyDescent="0.3">
      <c r="B33" s="4" t="s">
        <v>19</v>
      </c>
    </row>
    <row r="34" spans="2:3" ht="15.75" customHeight="1" x14ac:dyDescent="0.3"/>
    <row r="35" spans="2:3" ht="15.75" customHeight="1" x14ac:dyDescent="0.3">
      <c r="B35" s="6" t="s">
        <v>20</v>
      </c>
      <c r="C35" s="7" t="s">
        <v>21</v>
      </c>
    </row>
    <row r="36" spans="2:3" ht="15.75" customHeight="1" x14ac:dyDescent="0.3">
      <c r="B36" s="8" t="s">
        <v>20</v>
      </c>
      <c r="C36" s="7" t="s">
        <v>22</v>
      </c>
    </row>
    <row r="37" spans="2:3" ht="15.75" customHeight="1" x14ac:dyDescent="0.3">
      <c r="B37" s="7" t="s">
        <v>20</v>
      </c>
      <c r="C37" s="7" t="s">
        <v>23</v>
      </c>
    </row>
    <row r="38" spans="2:3" ht="15.75" customHeight="1" x14ac:dyDescent="0.3">
      <c r="B38" s="9" t="s">
        <v>20</v>
      </c>
      <c r="C38" s="7" t="s">
        <v>24</v>
      </c>
    </row>
    <row r="39" spans="2:3" ht="15.75" customHeight="1" x14ac:dyDescent="0.3">
      <c r="B39" s="10" t="s">
        <v>20</v>
      </c>
      <c r="C39" s="7" t="s">
        <v>25</v>
      </c>
    </row>
    <row r="40" spans="2:3" ht="15.75" customHeight="1" x14ac:dyDescent="0.3"/>
    <row r="41" spans="2:3" ht="15.75" customHeight="1" x14ac:dyDescent="0.3"/>
    <row r="42" spans="2:3" ht="15.75" customHeight="1" x14ac:dyDescent="0.3"/>
    <row r="43" spans="2:3" ht="15.75" customHeight="1" x14ac:dyDescent="0.3"/>
  </sheetData>
  <mergeCells count="1">
    <mergeCell ref="B2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1"/>
  <sheetViews>
    <sheetView showGridLines="0" zoomScaleNormal="100" workbookViewId="0">
      <selection activeCell="C11" sqref="C11"/>
    </sheetView>
  </sheetViews>
  <sheetFormatPr defaultColWidth="8.6640625" defaultRowHeight="14.4" x14ac:dyDescent="0.3"/>
  <cols>
    <col min="1" max="1" width="3" style="14" customWidth="1"/>
    <col min="2" max="2" width="36.6640625" style="14" bestFit="1" customWidth="1"/>
    <col min="3" max="5" width="24.44140625" style="14" customWidth="1"/>
    <col min="6" max="6" width="3" style="14" customWidth="1"/>
    <col min="7" max="16384" width="8.6640625" style="14"/>
  </cols>
  <sheetData>
    <row r="2" spans="2:5" ht="36" customHeight="1" x14ac:dyDescent="0.3">
      <c r="B2" s="13" t="s">
        <v>145</v>
      </c>
      <c r="C2" s="13"/>
      <c r="D2" s="13"/>
      <c r="E2" s="13"/>
    </row>
    <row r="4" spans="2:5" ht="21.75" customHeight="1" x14ac:dyDescent="0.3">
      <c r="B4" s="29" t="s">
        <v>26</v>
      </c>
      <c r="C4" s="29"/>
      <c r="D4" s="29"/>
      <c r="E4" s="29"/>
    </row>
    <row r="5" spans="2:5" ht="19.5" customHeight="1" x14ac:dyDescent="0.3">
      <c r="B5" s="36" t="s">
        <v>27</v>
      </c>
      <c r="C5" s="37" t="s">
        <v>28</v>
      </c>
      <c r="D5" s="43" t="s">
        <v>29</v>
      </c>
      <c r="E5" s="44"/>
    </row>
    <row r="7" spans="2:5" ht="18" customHeight="1" x14ac:dyDescent="0.3">
      <c r="B7" s="17" t="s">
        <v>30</v>
      </c>
      <c r="C7" s="17" t="s">
        <v>31</v>
      </c>
      <c r="D7" s="17" t="s">
        <v>28</v>
      </c>
      <c r="E7" s="17" t="s">
        <v>32</v>
      </c>
    </row>
    <row r="8" spans="2:5" ht="19.5" customHeight="1" x14ac:dyDescent="0.3">
      <c r="B8" s="38" t="s">
        <v>33</v>
      </c>
      <c r="C8" s="38"/>
      <c r="D8" s="38"/>
      <c r="E8" s="38"/>
    </row>
    <row r="9" spans="2:5" ht="16.5" customHeight="1" x14ac:dyDescent="0.3">
      <c r="B9" s="39" t="s">
        <v>34</v>
      </c>
      <c r="C9" s="45">
        <v>5</v>
      </c>
      <c r="D9" s="45">
        <v>7</v>
      </c>
      <c r="E9" s="45">
        <v>7</v>
      </c>
    </row>
    <row r="10" spans="2:5" ht="16.5" customHeight="1" x14ac:dyDescent="0.3">
      <c r="B10" s="39" t="s">
        <v>35</v>
      </c>
      <c r="C10" s="45">
        <v>2024</v>
      </c>
      <c r="D10" s="45">
        <v>2024</v>
      </c>
      <c r="E10" s="45">
        <v>2024</v>
      </c>
    </row>
    <row r="11" spans="2:5" ht="16.5" customHeight="1" x14ac:dyDescent="0.3">
      <c r="B11" s="39" t="s">
        <v>36</v>
      </c>
      <c r="C11" s="46">
        <v>0.08</v>
      </c>
      <c r="D11" s="46">
        <v>7.0000000000000007E-2</v>
      </c>
      <c r="E11" s="46">
        <v>6.5000000000000002E-2</v>
      </c>
    </row>
    <row r="12" spans="2:5" ht="16.5" customHeight="1" x14ac:dyDescent="0.3">
      <c r="B12" s="39" t="s">
        <v>37</v>
      </c>
      <c r="C12" s="46">
        <v>0.03</v>
      </c>
      <c r="D12" s="46">
        <v>2.5000000000000001E-2</v>
      </c>
      <c r="E12" s="46">
        <v>0.02</v>
      </c>
    </row>
    <row r="14" spans="2:5" ht="19.5" customHeight="1" x14ac:dyDescent="0.3">
      <c r="B14" s="38" t="s">
        <v>38</v>
      </c>
      <c r="C14" s="38"/>
      <c r="D14" s="38"/>
      <c r="E14" s="38"/>
    </row>
    <row r="15" spans="2:5" ht="27" customHeight="1" x14ac:dyDescent="0.3">
      <c r="B15" s="39" t="s">
        <v>39</v>
      </c>
      <c r="C15" s="45">
        <v>2200</v>
      </c>
      <c r="D15" s="45">
        <v>1800</v>
      </c>
      <c r="E15" s="45">
        <v>1600</v>
      </c>
    </row>
    <row r="16" spans="2:5" ht="27" customHeight="1" x14ac:dyDescent="0.3">
      <c r="B16" s="39" t="s">
        <v>40</v>
      </c>
      <c r="C16" s="45">
        <v>900</v>
      </c>
      <c r="D16" s="45">
        <v>750</v>
      </c>
      <c r="E16" s="45">
        <v>650</v>
      </c>
    </row>
    <row r="17" spans="2:5" ht="27" customHeight="1" x14ac:dyDescent="0.3">
      <c r="B17" s="39" t="s">
        <v>41</v>
      </c>
      <c r="C17" s="45">
        <v>400</v>
      </c>
      <c r="D17" s="45">
        <v>320</v>
      </c>
      <c r="E17" s="45">
        <v>280</v>
      </c>
    </row>
    <row r="18" spans="2:5" ht="27" customHeight="1" x14ac:dyDescent="0.3">
      <c r="B18" s="39" t="s">
        <v>42</v>
      </c>
      <c r="C18" s="46">
        <v>0.15</v>
      </c>
      <c r="D18" s="46">
        <v>0.1</v>
      </c>
      <c r="E18" s="46">
        <v>0.08</v>
      </c>
    </row>
    <row r="20" spans="2:5" ht="19.5" customHeight="1" x14ac:dyDescent="0.3">
      <c r="B20" s="38" t="s">
        <v>43</v>
      </c>
      <c r="C20" s="38"/>
      <c r="D20" s="38"/>
      <c r="E20" s="38"/>
    </row>
    <row r="21" spans="2:5" ht="28.2" customHeight="1" x14ac:dyDescent="0.3">
      <c r="B21" s="39" t="s">
        <v>44</v>
      </c>
      <c r="C21" s="45">
        <v>280</v>
      </c>
      <c r="D21" s="45">
        <v>240</v>
      </c>
      <c r="E21" s="45">
        <v>210</v>
      </c>
    </row>
    <row r="22" spans="2:5" ht="28.2" customHeight="1" x14ac:dyDescent="0.3">
      <c r="B22" s="39" t="s">
        <v>45</v>
      </c>
      <c r="C22" s="45">
        <v>150</v>
      </c>
      <c r="D22" s="45">
        <v>120</v>
      </c>
      <c r="E22" s="45">
        <v>100</v>
      </c>
    </row>
    <row r="23" spans="2:5" ht="28.2" customHeight="1" x14ac:dyDescent="0.3">
      <c r="B23" s="39" t="s">
        <v>46</v>
      </c>
      <c r="C23" s="46">
        <v>0.04</v>
      </c>
      <c r="D23" s="46">
        <v>0.03</v>
      </c>
      <c r="E23" s="46">
        <v>2.5000000000000001E-2</v>
      </c>
    </row>
    <row r="25" spans="2:5" ht="19.5" customHeight="1" x14ac:dyDescent="0.3">
      <c r="B25" s="38" t="s">
        <v>47</v>
      </c>
      <c r="C25" s="38"/>
      <c r="D25" s="38"/>
      <c r="E25" s="38"/>
    </row>
    <row r="26" spans="2:5" ht="18" customHeight="1" x14ac:dyDescent="0.3">
      <c r="B26" s="39" t="s">
        <v>48</v>
      </c>
      <c r="C26" s="45">
        <v>900</v>
      </c>
      <c r="D26" s="45">
        <v>1200</v>
      </c>
      <c r="E26" s="45">
        <v>1500</v>
      </c>
    </row>
    <row r="27" spans="2:5" ht="30" customHeight="1" x14ac:dyDescent="0.3">
      <c r="B27" s="39" t="s">
        <v>49</v>
      </c>
      <c r="C27" s="45">
        <v>400</v>
      </c>
      <c r="D27" s="45">
        <v>600</v>
      </c>
      <c r="E27" s="45">
        <v>750</v>
      </c>
    </row>
    <row r="28" spans="2:5" ht="30" customHeight="1" x14ac:dyDescent="0.3">
      <c r="B28" s="39" t="s">
        <v>50</v>
      </c>
      <c r="C28" s="45">
        <v>200</v>
      </c>
      <c r="D28" s="45">
        <v>300</v>
      </c>
      <c r="E28" s="45">
        <v>380</v>
      </c>
    </row>
    <row r="29" spans="2:5" ht="18" customHeight="1" x14ac:dyDescent="0.3">
      <c r="B29" s="39" t="s">
        <v>51</v>
      </c>
      <c r="C29" s="46">
        <v>0.3</v>
      </c>
      <c r="D29" s="46">
        <v>0.4</v>
      </c>
      <c r="E29" s="46">
        <v>0.5</v>
      </c>
    </row>
    <row r="30" spans="2:5" ht="18" customHeight="1" x14ac:dyDescent="0.3">
      <c r="B30" s="39" t="s">
        <v>52</v>
      </c>
      <c r="C30" s="46">
        <v>0.7</v>
      </c>
      <c r="D30" s="46">
        <v>0.8</v>
      </c>
      <c r="E30" s="46">
        <v>0.9</v>
      </c>
    </row>
    <row r="31" spans="2:5" ht="18" customHeight="1" x14ac:dyDescent="0.3">
      <c r="B31" s="39" t="s">
        <v>53</v>
      </c>
      <c r="C31" s="45">
        <v>3</v>
      </c>
      <c r="D31" s="45">
        <v>3</v>
      </c>
      <c r="E31" s="45">
        <v>2</v>
      </c>
    </row>
    <row r="32" spans="2:5" ht="18" customHeight="1" x14ac:dyDescent="0.3">
      <c r="B32" s="39" t="s">
        <v>54</v>
      </c>
      <c r="C32" s="46">
        <v>0.02</v>
      </c>
      <c r="D32" s="46">
        <v>0.03</v>
      </c>
      <c r="E32" s="46">
        <v>0.04</v>
      </c>
    </row>
    <row r="34" spans="2:5" ht="19.5" customHeight="1" x14ac:dyDescent="0.3">
      <c r="B34" s="38" t="s">
        <v>154</v>
      </c>
      <c r="C34" s="38"/>
      <c r="D34" s="38"/>
      <c r="E34" s="38"/>
    </row>
    <row r="35" spans="2:5" ht="15.75" customHeight="1" x14ac:dyDescent="0.3">
      <c r="B35" s="40" t="s">
        <v>55</v>
      </c>
      <c r="C35" s="40"/>
      <c r="D35" s="40"/>
      <c r="E35" s="40"/>
    </row>
    <row r="36" spans="2:5" ht="15.75" customHeight="1" x14ac:dyDescent="0.3">
      <c r="B36" s="40" t="s">
        <v>56</v>
      </c>
      <c r="C36" s="40"/>
      <c r="D36" s="40"/>
      <c r="E36" s="40"/>
    </row>
    <row r="37" spans="2:5" ht="15.75" customHeight="1" x14ac:dyDescent="0.3">
      <c r="B37" s="40" t="s">
        <v>57</v>
      </c>
      <c r="C37" s="40"/>
      <c r="D37" s="40"/>
      <c r="E37" s="40"/>
    </row>
    <row r="38" spans="2:5" ht="15.75" customHeight="1" x14ac:dyDescent="0.3">
      <c r="B38" s="40" t="s">
        <v>58</v>
      </c>
      <c r="C38" s="40"/>
      <c r="D38" s="40"/>
      <c r="E38" s="40"/>
    </row>
    <row r="39" spans="2:5" ht="15.75" customHeight="1" x14ac:dyDescent="0.3">
      <c r="B39" s="40" t="s">
        <v>59</v>
      </c>
      <c r="C39" s="40"/>
      <c r="D39" s="40"/>
      <c r="E39" s="40"/>
    </row>
    <row r="41" spans="2:5" ht="15" customHeight="1" x14ac:dyDescent="0.3">
      <c r="B41" s="41"/>
      <c r="C41" s="41"/>
      <c r="D41" s="41"/>
      <c r="E41" s="41"/>
    </row>
  </sheetData>
  <mergeCells count="14">
    <mergeCell ref="B2:E2"/>
    <mergeCell ref="B4:E4"/>
    <mergeCell ref="B8:E8"/>
    <mergeCell ref="B14:E14"/>
    <mergeCell ref="B20:E20"/>
    <mergeCell ref="D5:E5"/>
    <mergeCell ref="B38:E38"/>
    <mergeCell ref="B39:E39"/>
    <mergeCell ref="B41:E41"/>
    <mergeCell ref="B25:E25"/>
    <mergeCell ref="B34:E34"/>
    <mergeCell ref="B35:E35"/>
    <mergeCell ref="B36:E36"/>
    <mergeCell ref="B37:E3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0"/>
  <sheetViews>
    <sheetView showGridLines="0" topLeftCell="A21" zoomScaleNormal="100" workbookViewId="0">
      <selection activeCell="N7" sqref="N7"/>
    </sheetView>
  </sheetViews>
  <sheetFormatPr defaultColWidth="8.6640625" defaultRowHeight="14.4" x14ac:dyDescent="0.3"/>
  <cols>
    <col min="1" max="1" width="3" style="14" customWidth="1"/>
    <col min="2" max="2" width="34" style="14" customWidth="1"/>
    <col min="3" max="3" width="5" style="14" customWidth="1"/>
    <col min="4" max="11" width="14" style="14" customWidth="1"/>
    <col min="12" max="12" width="3" style="14" customWidth="1"/>
    <col min="13" max="16384" width="8.6640625" style="14"/>
  </cols>
  <sheetData>
    <row r="2" spans="2:11" ht="36" customHeight="1" x14ac:dyDescent="0.3">
      <c r="B2" s="13" t="s">
        <v>152</v>
      </c>
      <c r="C2" s="13"/>
      <c r="D2" s="13"/>
      <c r="E2" s="13"/>
      <c r="F2" s="13"/>
      <c r="G2" s="13"/>
      <c r="H2" s="13"/>
      <c r="I2" s="13"/>
      <c r="J2" s="13"/>
      <c r="K2" s="13"/>
    </row>
    <row r="3" spans="2:11" ht="18" customHeight="1" x14ac:dyDescent="0.3">
      <c r="B3" s="15" t="s">
        <v>153</v>
      </c>
      <c r="C3" s="15"/>
      <c r="D3" s="15"/>
      <c r="E3" s="15"/>
      <c r="F3" s="15"/>
      <c r="G3" s="15"/>
      <c r="H3" s="15"/>
      <c r="I3" s="15"/>
      <c r="J3" s="15"/>
      <c r="K3" s="15"/>
    </row>
    <row r="5" spans="2:11" ht="19.5" customHeight="1" x14ac:dyDescent="0.3">
      <c r="B5" s="16" t="s">
        <v>60</v>
      </c>
      <c r="C5" s="17" t="s">
        <v>61</v>
      </c>
      <c r="D5" s="42">
        <v>2024</v>
      </c>
      <c r="E5" s="42">
        <v>2025</v>
      </c>
      <c r="F5" s="42">
        <v>2026</v>
      </c>
      <c r="G5" s="42">
        <v>2027</v>
      </c>
      <c r="H5" s="42">
        <v>2028</v>
      </c>
      <c r="I5" s="42">
        <v>2029</v>
      </c>
      <c r="J5" s="42">
        <v>2030</v>
      </c>
      <c r="K5" s="42" t="s">
        <v>62</v>
      </c>
    </row>
    <row r="7" spans="2:11" ht="18" customHeight="1" x14ac:dyDescent="0.3">
      <c r="B7" s="19" t="s">
        <v>63</v>
      </c>
      <c r="C7" s="19"/>
      <c r="D7" s="19"/>
      <c r="E7" s="19"/>
      <c r="F7" s="19"/>
      <c r="G7" s="19"/>
      <c r="H7" s="19"/>
      <c r="I7" s="19"/>
      <c r="J7" s="19"/>
      <c r="K7" s="19"/>
    </row>
    <row r="8" spans="2:11" ht="16.5" customHeight="1" x14ac:dyDescent="0.3">
      <c r="B8" s="20" t="s">
        <v>64</v>
      </c>
      <c r="C8" s="21" t="s">
        <v>65</v>
      </c>
      <c r="D8" s="22">
        <f>IF(Assumptions!$C$5="Conservative",Assumptions!C15,IF(Assumptions!$C$5="Optimistic",Assumptions!E15,Assumptions!D15))</f>
        <v>1800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</row>
    <row r="9" spans="2:11" ht="16.5" customHeight="1" x14ac:dyDescent="0.3">
      <c r="B9" s="20" t="s">
        <v>66</v>
      </c>
      <c r="C9" s="21" t="s">
        <v>65</v>
      </c>
      <c r="D9" s="22">
        <f>IF(Assumptions!$C$5="Conservative",Assumptions!C16,IF(Assumptions!$C$5="Optimistic",Assumptions!E16,Assumptions!D16))</f>
        <v>750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</row>
    <row r="10" spans="2:11" ht="16.5" customHeight="1" x14ac:dyDescent="0.3">
      <c r="B10" s="20" t="s">
        <v>67</v>
      </c>
      <c r="C10" s="21" t="s">
        <v>65</v>
      </c>
      <c r="D10" s="22">
        <f>IF(Assumptions!$C$5="Conservative",Assumptions!C17,IF(Assumptions!$C$5="Optimistic",Assumptions!E17,Assumptions!D17))</f>
        <v>320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</row>
    <row r="11" spans="2:11" ht="16.5" customHeight="1" x14ac:dyDescent="0.3">
      <c r="B11" s="20" t="s">
        <v>68</v>
      </c>
      <c r="C11" s="21" t="s">
        <v>65</v>
      </c>
      <c r="D11" s="22">
        <f>(IF(Assumptions!$C$5="Conservative",Assumptions!C18,IF(Assumptions!$C$5="Optimistic",Assumptions!E18,Assumptions!D18)))*(D8+D9+D10)</f>
        <v>287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</row>
    <row r="12" spans="2:11" ht="16.5" customHeight="1" x14ac:dyDescent="0.3">
      <c r="B12" s="24" t="s">
        <v>69</v>
      </c>
      <c r="C12" s="25" t="s">
        <v>65</v>
      </c>
      <c r="D12" s="26">
        <f t="shared" ref="D12:J12" si="0">SUM(D8:D11)</f>
        <v>3157</v>
      </c>
      <c r="E12" s="26">
        <f t="shared" si="0"/>
        <v>0</v>
      </c>
      <c r="F12" s="26">
        <f t="shared" si="0"/>
        <v>0</v>
      </c>
      <c r="G12" s="26">
        <f t="shared" si="0"/>
        <v>0</v>
      </c>
      <c r="H12" s="26">
        <f t="shared" si="0"/>
        <v>0</v>
      </c>
      <c r="I12" s="26">
        <f t="shared" si="0"/>
        <v>0</v>
      </c>
      <c r="J12" s="26">
        <f t="shared" si="0"/>
        <v>0</v>
      </c>
      <c r="K12" s="26">
        <f>SUM(D12:J12)</f>
        <v>3157</v>
      </c>
    </row>
    <row r="14" spans="2:11" ht="18" customHeight="1" x14ac:dyDescent="0.3">
      <c r="B14" s="19" t="s">
        <v>70</v>
      </c>
      <c r="C14" s="19"/>
      <c r="D14" s="19"/>
      <c r="E14" s="19"/>
      <c r="F14" s="19"/>
      <c r="G14" s="19"/>
      <c r="H14" s="19"/>
      <c r="I14" s="19"/>
      <c r="J14" s="19"/>
      <c r="K14" s="19"/>
    </row>
    <row r="15" spans="2:11" ht="16.5" customHeight="1" x14ac:dyDescent="0.3">
      <c r="B15" s="20" t="s">
        <v>71</v>
      </c>
      <c r="C15" s="21" t="s">
        <v>65</v>
      </c>
      <c r="D15" s="23">
        <v>0</v>
      </c>
      <c r="E15" s="22">
        <f>(IF(Assumptions!$C$5="Conservative",Assumptions!C21,IF(Assumptions!$C$5="Optimistic",Assumptions!E21,Assumptions!D21)))*(1+(IF(Assumptions!$C$5="Conservative",Assumptions!C23,IF(Assumptions!$C$5="Optimistic",Assumptions!E23,Assumptions!D23))))^1</f>
        <v>247.20000000000002</v>
      </c>
      <c r="F15" s="22">
        <f>(IF(Assumptions!$C$5="Conservative",Assumptions!C21,IF(Assumptions!$C$5="Optimistic",Assumptions!E21,Assumptions!D21)))*(1+(IF(Assumptions!$C$5="Conservative",Assumptions!C23,IF(Assumptions!$C$5="Optimistic",Assumptions!E23,Assumptions!D23))))^2</f>
        <v>254.61599999999999</v>
      </c>
      <c r="G15" s="22">
        <f>(IF(Assumptions!$C$5="Conservative",Assumptions!C21,IF(Assumptions!$C$5="Optimistic",Assumptions!E21,Assumptions!D21)))*(1+(IF(Assumptions!$C$5="Conservative",Assumptions!C23,IF(Assumptions!$C$5="Optimistic",Assumptions!E23,Assumptions!D23))))^3</f>
        <v>262.25448</v>
      </c>
      <c r="H15" s="22">
        <f>(IF(Assumptions!$C$5="Conservative",Assumptions!C21,IF(Assumptions!$C$5="Optimistic",Assumptions!E21,Assumptions!D21)))*(1+(IF(Assumptions!$C$5="Conservative",Assumptions!C23,IF(Assumptions!$C$5="Optimistic",Assumptions!E23,Assumptions!D23))))^4</f>
        <v>270.12211439999999</v>
      </c>
      <c r="I15" s="22">
        <f>(IF(Assumptions!$C$5="Conservative",Assumptions!C21,IF(Assumptions!$C$5="Optimistic",Assumptions!E21,Assumptions!D21)))*(1+(IF(Assumptions!$C$5="Conservative",Assumptions!C23,IF(Assumptions!$C$5="Optimistic",Assumptions!E23,Assumptions!D23))))^5</f>
        <v>278.22577783199995</v>
      </c>
      <c r="J15" s="22">
        <f>(IF(Assumptions!$C$5="Conservative",Assumptions!C21,IF(Assumptions!$C$5="Optimistic",Assumptions!E21,Assumptions!D21)))*(1+(IF(Assumptions!$C$5="Conservative",Assumptions!C23,IF(Assumptions!$C$5="Optimistic",Assumptions!E23,Assumptions!D23))))^6</f>
        <v>286.57255116695995</v>
      </c>
      <c r="K15" s="23">
        <v>0</v>
      </c>
    </row>
    <row r="16" spans="2:11" ht="16.5" customHeight="1" x14ac:dyDescent="0.3">
      <c r="B16" s="20" t="s">
        <v>72</v>
      </c>
      <c r="C16" s="21" t="s">
        <v>65</v>
      </c>
      <c r="D16" s="23">
        <v>0</v>
      </c>
      <c r="E16" s="22">
        <f>(IF(Assumptions!$C$5="Conservative",Assumptions!C22,IF(Assumptions!$C$5="Optimistic",Assumptions!E22,Assumptions!D22)))*(1+(IF(Assumptions!$C$5="Conservative",Assumptions!C23,IF(Assumptions!$C$5="Optimistic",Assumptions!E23,Assumptions!D23))))^1</f>
        <v>123.60000000000001</v>
      </c>
      <c r="F16" s="22">
        <f>(IF(Assumptions!$C$5="Conservative",Assumptions!C22,IF(Assumptions!$C$5="Optimistic",Assumptions!E22,Assumptions!D22)))*(1+(IF(Assumptions!$C$5="Conservative",Assumptions!C23,IF(Assumptions!$C$5="Optimistic",Assumptions!E23,Assumptions!D23))))^2</f>
        <v>127.30799999999999</v>
      </c>
      <c r="G16" s="22">
        <f>(IF(Assumptions!$C$5="Conservative",Assumptions!C22,IF(Assumptions!$C$5="Optimistic",Assumptions!E22,Assumptions!D22)))*(1+(IF(Assumptions!$C$5="Conservative",Assumptions!C23,IF(Assumptions!$C$5="Optimistic",Assumptions!E23,Assumptions!D23))))^3</f>
        <v>131.12724</v>
      </c>
      <c r="H16" s="22">
        <f>(IF(Assumptions!$C$5="Conservative",Assumptions!C22,IF(Assumptions!$C$5="Optimistic",Assumptions!E22,Assumptions!D22)))*(1+(IF(Assumptions!$C$5="Conservative",Assumptions!C23,IF(Assumptions!$C$5="Optimistic",Assumptions!E23,Assumptions!D23))))^4</f>
        <v>135.06105719999999</v>
      </c>
      <c r="I16" s="22">
        <f>(IF(Assumptions!$C$5="Conservative",Assumptions!C22,IF(Assumptions!$C$5="Optimistic",Assumptions!E22,Assumptions!D22)))*(1+(IF(Assumptions!$C$5="Conservative",Assumptions!C23,IF(Assumptions!$C$5="Optimistic",Assumptions!E23,Assumptions!D23))))^5</f>
        <v>139.11288891599997</v>
      </c>
      <c r="J16" s="22">
        <f>(IF(Assumptions!$C$5="Conservative",Assumptions!C22,IF(Assumptions!$C$5="Optimistic",Assumptions!E22,Assumptions!D22)))*(1+(IF(Assumptions!$C$5="Conservative",Assumptions!C23,IF(Assumptions!$C$5="Optimistic",Assumptions!E23,Assumptions!D23))))^6</f>
        <v>143.28627558347998</v>
      </c>
      <c r="K16" s="23">
        <v>0</v>
      </c>
    </row>
    <row r="17" spans="2:11" ht="16.5" customHeight="1" x14ac:dyDescent="0.3">
      <c r="B17" s="24" t="s">
        <v>73</v>
      </c>
      <c r="C17" s="25" t="s">
        <v>65</v>
      </c>
      <c r="D17" s="26">
        <f t="shared" ref="D17:J17" si="1">D15+D16</f>
        <v>0</v>
      </c>
      <c r="E17" s="26">
        <f t="shared" si="1"/>
        <v>370.8</v>
      </c>
      <c r="F17" s="26">
        <f t="shared" si="1"/>
        <v>381.92399999999998</v>
      </c>
      <c r="G17" s="26">
        <f t="shared" si="1"/>
        <v>393.38171999999997</v>
      </c>
      <c r="H17" s="26">
        <f t="shared" si="1"/>
        <v>405.18317159999998</v>
      </c>
      <c r="I17" s="26">
        <f t="shared" si="1"/>
        <v>417.33866674799992</v>
      </c>
      <c r="J17" s="26">
        <f t="shared" si="1"/>
        <v>429.8588267504399</v>
      </c>
      <c r="K17" s="26">
        <f>SUM(D17:J17)</f>
        <v>2398.4863850984398</v>
      </c>
    </row>
    <row r="19" spans="2:11" ht="18" customHeight="1" x14ac:dyDescent="0.3">
      <c r="B19" s="27" t="s">
        <v>74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2:11" ht="16.5" customHeight="1" x14ac:dyDescent="0.3">
      <c r="B20" s="24" t="s">
        <v>75</v>
      </c>
      <c r="C20" s="25" t="s">
        <v>65</v>
      </c>
      <c r="D20" s="26">
        <f t="shared" ref="D20:K20" si="2">D12+D17</f>
        <v>3157</v>
      </c>
      <c r="E20" s="26">
        <f t="shared" si="2"/>
        <v>370.8</v>
      </c>
      <c r="F20" s="26">
        <f t="shared" si="2"/>
        <v>381.92399999999998</v>
      </c>
      <c r="G20" s="26">
        <f t="shared" si="2"/>
        <v>393.38171999999997</v>
      </c>
      <c r="H20" s="26">
        <f t="shared" si="2"/>
        <v>405.18317159999998</v>
      </c>
      <c r="I20" s="26">
        <f t="shared" si="2"/>
        <v>417.33866674799992</v>
      </c>
      <c r="J20" s="26">
        <f t="shared" si="2"/>
        <v>429.8588267504399</v>
      </c>
      <c r="K20" s="26">
        <f t="shared" si="2"/>
        <v>5555.4863850984402</v>
      </c>
    </row>
    <row r="22" spans="2:11" ht="18" customHeight="1" x14ac:dyDescent="0.3">
      <c r="B22" s="19" t="s">
        <v>76</v>
      </c>
      <c r="C22" s="19"/>
      <c r="D22" s="19"/>
      <c r="E22" s="19"/>
      <c r="F22" s="19"/>
      <c r="G22" s="19"/>
      <c r="H22" s="19"/>
      <c r="I22" s="19"/>
      <c r="J22" s="19"/>
      <c r="K22" s="19"/>
    </row>
    <row r="23" spans="2:11" ht="16.5" customHeight="1" x14ac:dyDescent="0.3">
      <c r="B23" s="20" t="s">
        <v>77</v>
      </c>
      <c r="C23" s="21" t="s">
        <v>65</v>
      </c>
      <c r="D23" s="22">
        <f>(IF(Assumptions!$C$5="Conservative",Assumptions!C26,IF(Assumptions!$C$5="Optimistic",Assumptions!E26,Assumptions!D26)))*(IF(Assumptions!$C$5="Conservative",Assumptions!C29,IF(Assumptions!$C$5="Optimistic",Assumptions!E29,Assumptions!D29)))</f>
        <v>480</v>
      </c>
      <c r="E23" s="22">
        <f>(IF(Assumptions!$C$5="Conservative",Assumptions!C26,IF(Assumptions!$C$5="Optimistic",Assumptions!E26,Assumptions!D26)))*(IF(Assumptions!$C$5="Conservative",Assumptions!C30,IF(Assumptions!$C$5="Optimistic",Assumptions!E30,Assumptions!D30)))</f>
        <v>960</v>
      </c>
      <c r="F23" s="22">
        <f>(IF(Assumptions!$C$5="Conservative",Assumptions!C26,IF(Assumptions!$C$5="Optimistic",Assumptions!E26,Assumptions!D26)))*(1+(IF(Assumptions!$C$5="Conservative",Assumptions!C32,IF(Assumptions!$C$5="Optimistic",Assumptions!E32,Assumptions!D32))))^1</f>
        <v>1236</v>
      </c>
      <c r="G23" s="22">
        <f>(IF(Assumptions!$C$5="Conservative",Assumptions!C26,IF(Assumptions!$C$5="Optimistic",Assumptions!E26,Assumptions!D26)))*(1+(IF(Assumptions!$C$5="Conservative",Assumptions!C32,IF(Assumptions!$C$5="Optimistic",Assumptions!E32,Assumptions!D32))))^2</f>
        <v>1273.08</v>
      </c>
      <c r="H23" s="22">
        <f>(IF(Assumptions!$C$5="Conservative",Assumptions!C26,IF(Assumptions!$C$5="Optimistic",Assumptions!E26,Assumptions!D26)))*(1+(IF(Assumptions!$C$5="Conservative",Assumptions!C32,IF(Assumptions!$C$5="Optimistic",Assumptions!E32,Assumptions!D32))))^3</f>
        <v>1311.2724000000001</v>
      </c>
      <c r="I23" s="22">
        <f>(IF(Assumptions!$C$5="Conservative",Assumptions!C26,IF(Assumptions!$C$5="Optimistic",Assumptions!E26,Assumptions!D26)))*(1+(IF(Assumptions!$C$5="Conservative",Assumptions!C32,IF(Assumptions!$C$5="Optimistic",Assumptions!E32,Assumptions!D32))))^4</f>
        <v>1350.6105719999998</v>
      </c>
      <c r="J23" s="22">
        <f>(IF(Assumptions!$C$5="Conservative",Assumptions!C26,IF(Assumptions!$C$5="Optimistic",Assumptions!E26,Assumptions!D26)))*(1+(IF(Assumptions!$C$5="Conservative",Assumptions!C32,IF(Assumptions!$C$5="Optimistic",Assumptions!E32,Assumptions!D32))))^5</f>
        <v>1391.1288891599997</v>
      </c>
      <c r="K23" s="23">
        <v>0</v>
      </c>
    </row>
    <row r="24" spans="2:11" ht="16.5" customHeight="1" x14ac:dyDescent="0.3">
      <c r="B24" s="20" t="s">
        <v>78</v>
      </c>
      <c r="C24" s="21" t="s">
        <v>65</v>
      </c>
      <c r="D24" s="22">
        <f>(IF(Assumptions!$C$5="Conservative",Assumptions!C27,IF(Assumptions!$C$5="Optimistic",Assumptions!E27,Assumptions!D27)))*(IF(Assumptions!$C$5="Conservative",Assumptions!C29,IF(Assumptions!$C$5="Optimistic",Assumptions!E29,Assumptions!D29)))</f>
        <v>240</v>
      </c>
      <c r="E24" s="22">
        <f>(IF(Assumptions!$C$5="Conservative",Assumptions!C27,IF(Assumptions!$C$5="Optimistic",Assumptions!E27,Assumptions!D27)))*(IF(Assumptions!$C$5="Conservative",Assumptions!C30,IF(Assumptions!$C$5="Optimistic",Assumptions!E30,Assumptions!D30)))</f>
        <v>480</v>
      </c>
      <c r="F24" s="22">
        <f>(IF(Assumptions!$C$5="Conservative",Assumptions!C27,IF(Assumptions!$C$5="Optimistic",Assumptions!E27,Assumptions!D27)))*(1+(IF(Assumptions!$C$5="Conservative",Assumptions!C32,IF(Assumptions!$C$5="Optimistic",Assumptions!E32,Assumptions!D32))))^1</f>
        <v>618</v>
      </c>
      <c r="G24" s="22">
        <f>(IF(Assumptions!$C$5="Conservative",Assumptions!C27,IF(Assumptions!$C$5="Optimistic",Assumptions!E27,Assumptions!D27)))*(1+(IF(Assumptions!$C$5="Conservative",Assumptions!C32,IF(Assumptions!$C$5="Optimistic",Assumptions!E32,Assumptions!D32))))^2</f>
        <v>636.54</v>
      </c>
      <c r="H24" s="22">
        <f>(IF(Assumptions!$C$5="Conservative",Assumptions!C27,IF(Assumptions!$C$5="Optimistic",Assumptions!E27,Assumptions!D27)))*(1+(IF(Assumptions!$C$5="Conservative",Assumptions!C32,IF(Assumptions!$C$5="Optimistic",Assumptions!E32,Assumptions!D32))))^3</f>
        <v>655.63620000000003</v>
      </c>
      <c r="I24" s="22">
        <f>(IF(Assumptions!$C$5="Conservative",Assumptions!C27,IF(Assumptions!$C$5="Optimistic",Assumptions!E27,Assumptions!D27)))*(1+(IF(Assumptions!$C$5="Conservative",Assumptions!C32,IF(Assumptions!$C$5="Optimistic",Assumptions!E32,Assumptions!D32))))^4</f>
        <v>675.30528599999991</v>
      </c>
      <c r="J24" s="22">
        <f>(IF(Assumptions!$C$5="Conservative",Assumptions!C27,IF(Assumptions!$C$5="Optimistic",Assumptions!E27,Assumptions!D27)))*(1+(IF(Assumptions!$C$5="Conservative",Assumptions!C32,IF(Assumptions!$C$5="Optimistic",Assumptions!E32,Assumptions!D32))))^5</f>
        <v>695.56444457999987</v>
      </c>
      <c r="K24" s="23">
        <v>0</v>
      </c>
    </row>
    <row r="25" spans="2:11" ht="16.5" customHeight="1" x14ac:dyDescent="0.3">
      <c r="B25" s="20" t="s">
        <v>79</v>
      </c>
      <c r="C25" s="21" t="s">
        <v>65</v>
      </c>
      <c r="D25" s="22">
        <f>(IF(Assumptions!$C$5="Conservative",Assumptions!C28,IF(Assumptions!$C$5="Optimistic",Assumptions!E28,Assumptions!D28)))*(IF(Assumptions!$C$5="Conservative",Assumptions!C29,IF(Assumptions!$C$5="Optimistic",Assumptions!E29,Assumptions!D29)))</f>
        <v>120</v>
      </c>
      <c r="E25" s="22">
        <f>(IF(Assumptions!$C$5="Conservative",Assumptions!C28,IF(Assumptions!$C$5="Optimistic",Assumptions!E28,Assumptions!D28)))*(IF(Assumptions!$C$5="Conservative",Assumptions!C30,IF(Assumptions!$C$5="Optimistic",Assumptions!E30,Assumptions!D30)))</f>
        <v>240</v>
      </c>
      <c r="F25" s="22">
        <f>(IF(Assumptions!$C$5="Conservative",Assumptions!C28,IF(Assumptions!$C$5="Optimistic",Assumptions!E28,Assumptions!D28)))*(1+(IF(Assumptions!$C$5="Conservative",Assumptions!C32,IF(Assumptions!$C$5="Optimistic",Assumptions!E32,Assumptions!D32))))^1</f>
        <v>309</v>
      </c>
      <c r="G25" s="22">
        <f>(IF(Assumptions!$C$5="Conservative",Assumptions!C28,IF(Assumptions!$C$5="Optimistic",Assumptions!E28,Assumptions!D28)))*(1+(IF(Assumptions!$C$5="Conservative",Assumptions!C32,IF(Assumptions!$C$5="Optimistic",Assumptions!E32,Assumptions!D32))))^2</f>
        <v>318.27</v>
      </c>
      <c r="H25" s="22">
        <f>(IF(Assumptions!$C$5="Conservative",Assumptions!C28,IF(Assumptions!$C$5="Optimistic",Assumptions!E28,Assumptions!D28)))*(1+(IF(Assumptions!$C$5="Conservative",Assumptions!C32,IF(Assumptions!$C$5="Optimistic",Assumptions!E32,Assumptions!D32))))^3</f>
        <v>327.81810000000002</v>
      </c>
      <c r="I25" s="22">
        <f>(IF(Assumptions!$C$5="Conservative",Assumptions!C28,IF(Assumptions!$C$5="Optimistic",Assumptions!E28,Assumptions!D28)))*(1+(IF(Assumptions!$C$5="Conservative",Assumptions!C32,IF(Assumptions!$C$5="Optimistic",Assumptions!E32,Assumptions!D32))))^4</f>
        <v>337.65264299999996</v>
      </c>
      <c r="J25" s="22">
        <f>(IF(Assumptions!$C$5="Conservative",Assumptions!C28,IF(Assumptions!$C$5="Optimistic",Assumptions!E28,Assumptions!D28)))*(1+(IF(Assumptions!$C$5="Conservative",Assumptions!C32,IF(Assumptions!$C$5="Optimistic",Assumptions!E32,Assumptions!D32))))^5</f>
        <v>347.78222228999994</v>
      </c>
      <c r="K25" s="23">
        <v>0</v>
      </c>
    </row>
    <row r="26" spans="2:11" ht="16.5" customHeight="1" x14ac:dyDescent="0.3">
      <c r="B26" s="24" t="s">
        <v>80</v>
      </c>
      <c r="C26" s="25" t="s">
        <v>65</v>
      </c>
      <c r="D26" s="26">
        <f t="shared" ref="D26:J26" si="3">SUM(D23:D25)</f>
        <v>840</v>
      </c>
      <c r="E26" s="26">
        <f t="shared" si="3"/>
        <v>1680</v>
      </c>
      <c r="F26" s="26">
        <f t="shared" si="3"/>
        <v>2163</v>
      </c>
      <c r="G26" s="26">
        <f t="shared" si="3"/>
        <v>2227.89</v>
      </c>
      <c r="H26" s="26">
        <f t="shared" si="3"/>
        <v>2294.7267000000002</v>
      </c>
      <c r="I26" s="26">
        <f t="shared" si="3"/>
        <v>2363.5685009999997</v>
      </c>
      <c r="J26" s="26">
        <f t="shared" si="3"/>
        <v>2434.4755560299996</v>
      </c>
      <c r="K26" s="26">
        <f>SUM(D26:J26)</f>
        <v>14003.660757029998</v>
      </c>
    </row>
    <row r="28" spans="2:11" ht="18" customHeight="1" x14ac:dyDescent="0.3">
      <c r="B28" s="19" t="s">
        <v>81</v>
      </c>
      <c r="C28" s="19"/>
      <c r="D28" s="19"/>
      <c r="E28" s="19"/>
      <c r="F28" s="19"/>
      <c r="G28" s="19"/>
      <c r="H28" s="19"/>
      <c r="I28" s="19"/>
      <c r="J28" s="19"/>
      <c r="K28" s="19"/>
    </row>
    <row r="29" spans="2:11" ht="16.5" customHeight="1" x14ac:dyDescent="0.3">
      <c r="B29" s="24" t="s">
        <v>82</v>
      </c>
      <c r="C29" s="25" t="s">
        <v>65</v>
      </c>
      <c r="D29" s="26">
        <f t="shared" ref="D29:J29" si="4">D26-D20</f>
        <v>-2317</v>
      </c>
      <c r="E29" s="26">
        <f t="shared" si="4"/>
        <v>1309.2</v>
      </c>
      <c r="F29" s="26">
        <f t="shared" si="4"/>
        <v>1781.076</v>
      </c>
      <c r="G29" s="26">
        <f t="shared" si="4"/>
        <v>1834.50828</v>
      </c>
      <c r="H29" s="26">
        <f t="shared" si="4"/>
        <v>1889.5435284000002</v>
      </c>
      <c r="I29" s="26">
        <f t="shared" si="4"/>
        <v>1946.2298342519998</v>
      </c>
      <c r="J29" s="26">
        <f t="shared" si="4"/>
        <v>2004.6167292795596</v>
      </c>
      <c r="K29" s="26">
        <f>SUM(D29:J29)</f>
        <v>8448.17437193156</v>
      </c>
    </row>
    <row r="30" spans="2:11" ht="16.5" customHeight="1" x14ac:dyDescent="0.3">
      <c r="B30" s="20" t="s">
        <v>83</v>
      </c>
      <c r="C30" s="21" t="s">
        <v>84</v>
      </c>
      <c r="D30" s="28">
        <f>1/(1+(IF(Assumptions!$C$5="Conservative",Assumptions!C11,IF(Assumptions!$C$5="Optimistic",Assumptions!E11,Assumptions!D11))))^0</f>
        <v>1</v>
      </c>
      <c r="E30" s="28">
        <f>1/(1+(IF(Assumptions!$C$5="Conservative",Assumptions!C11,IF(Assumptions!$C$5="Optimistic",Assumptions!E11,Assumptions!D11))))^1</f>
        <v>0.93457943925233644</v>
      </c>
      <c r="F30" s="28">
        <f>1/(1+(IF(Assumptions!$C$5="Conservative",Assumptions!C11,IF(Assumptions!$C$5="Optimistic",Assumptions!E11,Assumptions!D11))))^2</f>
        <v>0.87343872827321156</v>
      </c>
      <c r="G30" s="28">
        <f>1/(1+(IF(Assumptions!$C$5="Conservative",Assumptions!C11,IF(Assumptions!$C$5="Optimistic",Assumptions!E11,Assumptions!D11))))^3</f>
        <v>0.81629787689085187</v>
      </c>
      <c r="H30" s="28">
        <f>1/(1+(IF(Assumptions!$C$5="Conservative",Assumptions!C11,IF(Assumptions!$C$5="Optimistic",Assumptions!E11,Assumptions!D11))))^4</f>
        <v>0.7628952120475252</v>
      </c>
      <c r="I30" s="28">
        <f>1/(1+(IF(Assumptions!$C$5="Conservative",Assumptions!C11,IF(Assumptions!$C$5="Optimistic",Assumptions!E11,Assumptions!D11))))^5</f>
        <v>0.71298617948366838</v>
      </c>
      <c r="J30" s="28">
        <f>1/(1+(IF(Assumptions!$C$5="Conservative",Assumptions!C11,IF(Assumptions!$C$5="Optimistic",Assumptions!E11,Assumptions!D11))))^6</f>
        <v>0.66634222381651254</v>
      </c>
      <c r="K30" s="23">
        <v>0</v>
      </c>
    </row>
    <row r="31" spans="2:11" ht="16.5" customHeight="1" x14ac:dyDescent="0.3">
      <c r="B31" s="20" t="s">
        <v>85</v>
      </c>
      <c r="C31" s="21" t="s">
        <v>65</v>
      </c>
      <c r="D31" s="22">
        <f t="shared" ref="D31:J31" si="5">D29*D30</f>
        <v>-2317</v>
      </c>
      <c r="E31" s="22">
        <f t="shared" si="5"/>
        <v>1223.551401869159</v>
      </c>
      <c r="F31" s="22">
        <f t="shared" si="5"/>
        <v>1555.6607563979385</v>
      </c>
      <c r="G31" s="22">
        <f t="shared" si="5"/>
        <v>1497.5052141026883</v>
      </c>
      <c r="H31" s="22">
        <f t="shared" si="5"/>
        <v>1441.5237107717471</v>
      </c>
      <c r="I31" s="22">
        <f t="shared" si="5"/>
        <v>1387.6349739204666</v>
      </c>
      <c r="J31" s="22">
        <f t="shared" si="5"/>
        <v>1335.7607692879255</v>
      </c>
      <c r="K31" s="23">
        <v>0</v>
      </c>
    </row>
    <row r="32" spans="2:11" ht="16.5" customHeight="1" x14ac:dyDescent="0.3">
      <c r="B32" s="20" t="s">
        <v>86</v>
      </c>
      <c r="C32" s="21" t="s">
        <v>65</v>
      </c>
      <c r="D32" s="22">
        <f>D29</f>
        <v>-2317</v>
      </c>
      <c r="E32" s="22">
        <f t="shared" ref="E32:J32" si="6">D32+E29</f>
        <v>-1007.8</v>
      </c>
      <c r="F32" s="22">
        <f t="shared" si="6"/>
        <v>773.27600000000007</v>
      </c>
      <c r="G32" s="22">
        <f t="shared" si="6"/>
        <v>2607.7842799999999</v>
      </c>
      <c r="H32" s="22">
        <f t="shared" si="6"/>
        <v>4497.3278084000003</v>
      </c>
      <c r="I32" s="22">
        <f t="shared" si="6"/>
        <v>6443.5576426520001</v>
      </c>
      <c r="J32" s="22">
        <f t="shared" si="6"/>
        <v>8448.17437193156</v>
      </c>
      <c r="K32" s="23">
        <v>0</v>
      </c>
    </row>
    <row r="34" spans="2:11" ht="18" customHeight="1" x14ac:dyDescent="0.3">
      <c r="B34" s="29" t="s">
        <v>87</v>
      </c>
      <c r="C34" s="29"/>
      <c r="D34" s="29"/>
      <c r="E34" s="29"/>
      <c r="F34" s="29"/>
      <c r="G34" s="29"/>
      <c r="H34" s="29"/>
      <c r="I34" s="29"/>
      <c r="J34" s="29"/>
      <c r="K34" s="29"/>
    </row>
    <row r="35" spans="2:11" ht="18" customHeight="1" x14ac:dyDescent="0.3">
      <c r="B35" s="30" t="s">
        <v>88</v>
      </c>
      <c r="C35" s="31">
        <f>SUMPRODUCT(D31:J31)</f>
        <v>6124.6368263499253</v>
      </c>
      <c r="D35" s="31"/>
      <c r="E35" s="31"/>
      <c r="F35" s="32" t="s">
        <v>65</v>
      </c>
    </row>
    <row r="36" spans="2:11" ht="18" customHeight="1" x14ac:dyDescent="0.3">
      <c r="B36" s="30" t="s">
        <v>89</v>
      </c>
      <c r="C36" s="33">
        <f>IFERROR(IRR(D29:J29),"N/A")</f>
        <v>0.66538208606274485</v>
      </c>
      <c r="D36" s="33"/>
      <c r="E36" s="33"/>
      <c r="F36" s="32" t="s">
        <v>90</v>
      </c>
    </row>
    <row r="37" spans="2:11" ht="18" customHeight="1" x14ac:dyDescent="0.3">
      <c r="B37" s="30" t="s">
        <v>91</v>
      </c>
      <c r="C37" s="31">
        <f>K26</f>
        <v>14003.660757029998</v>
      </c>
      <c r="D37" s="31"/>
      <c r="E37" s="31"/>
      <c r="F37" s="32" t="s">
        <v>65</v>
      </c>
    </row>
    <row r="38" spans="2:11" ht="18" customHeight="1" x14ac:dyDescent="0.3">
      <c r="B38" s="30" t="s">
        <v>92</v>
      </c>
      <c r="C38" s="31">
        <f>K20</f>
        <v>5555.4863850984402</v>
      </c>
      <c r="D38" s="31"/>
      <c r="E38" s="31"/>
      <c r="F38" s="32" t="s">
        <v>65</v>
      </c>
    </row>
    <row r="39" spans="2:11" ht="18" customHeight="1" x14ac:dyDescent="0.3">
      <c r="B39" s="30" t="s">
        <v>93</v>
      </c>
      <c r="C39" s="34">
        <f>IFERROR(K26/K20,"N/A")</f>
        <v>2.5206903205797095</v>
      </c>
      <c r="D39" s="34"/>
      <c r="E39" s="34"/>
      <c r="F39" s="32" t="s">
        <v>84</v>
      </c>
    </row>
    <row r="40" spans="2:11" ht="18" customHeight="1" x14ac:dyDescent="0.3">
      <c r="B40" s="30" t="s">
        <v>94</v>
      </c>
      <c r="C40" s="35" t="str">
        <f>IFERROR(MATCH(1,(D32:J32&gt;0)*1,0)&amp;" years","Review")</f>
        <v>Review</v>
      </c>
      <c r="D40" s="35"/>
      <c r="E40" s="35"/>
      <c r="F40" s="32" t="s">
        <v>95</v>
      </c>
    </row>
  </sheetData>
  <mergeCells count="14">
    <mergeCell ref="B2:K2"/>
    <mergeCell ref="B3:K3"/>
    <mergeCell ref="B7:K7"/>
    <mergeCell ref="B14:K14"/>
    <mergeCell ref="B19:K19"/>
    <mergeCell ref="C37:E37"/>
    <mergeCell ref="C38:E38"/>
    <mergeCell ref="C39:E39"/>
    <mergeCell ref="C40:E40"/>
    <mergeCell ref="B22:K22"/>
    <mergeCell ref="B28:K28"/>
    <mergeCell ref="B34:K34"/>
    <mergeCell ref="C35:E35"/>
    <mergeCell ref="C36:E3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33"/>
  <sheetViews>
    <sheetView showGridLines="0" topLeftCell="A17" zoomScaleNormal="100" workbookViewId="0">
      <selection activeCell="B16" sqref="B16:F16"/>
    </sheetView>
  </sheetViews>
  <sheetFormatPr defaultColWidth="8.6640625" defaultRowHeight="14.4" x14ac:dyDescent="0.3"/>
  <cols>
    <col min="1" max="1" width="3" style="14" customWidth="1"/>
    <col min="2" max="2" width="28" style="14" customWidth="1"/>
    <col min="3" max="6" width="22" style="14" customWidth="1"/>
    <col min="7" max="7" width="20.33203125" style="14" customWidth="1"/>
    <col min="8" max="16384" width="8.6640625" style="14"/>
  </cols>
  <sheetData>
    <row r="2" spans="2:7" ht="36" customHeight="1" x14ac:dyDescent="0.3">
      <c r="B2" s="13" t="s">
        <v>155</v>
      </c>
      <c r="C2" s="13"/>
      <c r="D2" s="13"/>
      <c r="E2" s="13"/>
      <c r="F2" s="13"/>
    </row>
    <row r="4" spans="2:7" ht="15" customHeight="1" x14ac:dyDescent="0.3">
      <c r="B4" s="47" t="s">
        <v>96</v>
      </c>
      <c r="C4" s="47"/>
      <c r="D4" s="47"/>
      <c r="E4" s="47"/>
      <c r="F4" s="47"/>
    </row>
    <row r="5" spans="2:7" ht="18" customHeight="1" x14ac:dyDescent="0.3">
      <c r="B5" s="17" t="s">
        <v>97</v>
      </c>
      <c r="C5" s="17" t="s">
        <v>31</v>
      </c>
      <c r="D5" s="17" t="s">
        <v>28</v>
      </c>
      <c r="E5" s="17" t="s">
        <v>32</v>
      </c>
      <c r="F5" s="17" t="s">
        <v>98</v>
      </c>
    </row>
    <row r="6" spans="2:7" ht="18" customHeight="1" x14ac:dyDescent="0.3">
      <c r="B6" s="39" t="s">
        <v>99</v>
      </c>
      <c r="C6" s="22">
        <f>((Assumptions!C26+Assumptions!C27+Assumptions!C28)*5-(Assumptions!C15+Assumptions!C16+Assumptions!C17)*(1+Assumptions!C18)-6*(Assumptions!C21+Assumptions!C22))</f>
        <v>895.00000000000045</v>
      </c>
      <c r="D6" s="22">
        <f>((Assumptions!D26+Assumptions!D27+Assumptions!D28)*5-(Assumptions!D15+Assumptions!D16+Assumptions!D17)*(1+Assumptions!D18)-6*(Assumptions!D21+Assumptions!D22))</f>
        <v>5183</v>
      </c>
      <c r="E6" s="22">
        <f>((Assumptions!E26+Assumptions!E27+Assumptions!E28)*5-(Assumptions!E15+Assumptions!E16+Assumptions!E17)*(1+Assumptions!E18)-6*(Assumptions!E21+Assumptions!E22))</f>
        <v>8557.6</v>
      </c>
      <c r="F6" s="48">
        <f t="shared" ref="F6:F12" si="0">E6-C6</f>
        <v>7662.6</v>
      </c>
    </row>
    <row r="7" spans="2:7" ht="18" customHeight="1" x14ac:dyDescent="0.3">
      <c r="B7" s="39" t="s">
        <v>100</v>
      </c>
      <c r="C7" s="22">
        <f>(Assumptions!C26+Assumptions!C27+Assumptions!C28)*5</f>
        <v>7500</v>
      </c>
      <c r="D7" s="22">
        <f>(Assumptions!D26+Assumptions!D27+Assumptions!D28)*5</f>
        <v>10500</v>
      </c>
      <c r="E7" s="22">
        <f>(Assumptions!E26+Assumptions!E27+Assumptions!E28)*5</f>
        <v>13150</v>
      </c>
      <c r="F7" s="48">
        <f t="shared" si="0"/>
        <v>5650</v>
      </c>
    </row>
    <row r="8" spans="2:7" ht="18" customHeight="1" x14ac:dyDescent="0.3">
      <c r="B8" s="39" t="s">
        <v>101</v>
      </c>
      <c r="C8" s="22">
        <f>(Assumptions!C15+Assumptions!C16+Assumptions!C17)*(1+Assumptions!C18)+6*(Assumptions!C21+Assumptions!C22)</f>
        <v>6605</v>
      </c>
      <c r="D8" s="22">
        <f>(Assumptions!D15+Assumptions!D16+Assumptions!D17)*(1+Assumptions!D18)+6*(Assumptions!D21+Assumptions!D22)</f>
        <v>5317</v>
      </c>
      <c r="E8" s="22">
        <f>(Assumptions!E15+Assumptions!E16+Assumptions!E17)*(1+Assumptions!E18)+6*(Assumptions!E21+Assumptions!E22)</f>
        <v>4592.3999999999996</v>
      </c>
      <c r="F8" s="48">
        <f t="shared" si="0"/>
        <v>-2012.6000000000004</v>
      </c>
    </row>
    <row r="9" spans="2:7" ht="18" customHeight="1" x14ac:dyDescent="0.3">
      <c r="B9" s="39" t="s">
        <v>102</v>
      </c>
      <c r="C9" s="49">
        <f>Assumptions!C11</f>
        <v>0.08</v>
      </c>
      <c r="D9" s="49">
        <f>Assumptions!D11</f>
        <v>7.0000000000000007E-2</v>
      </c>
      <c r="E9" s="49">
        <f>Assumptions!E11</f>
        <v>6.5000000000000002E-2</v>
      </c>
      <c r="F9" s="50">
        <f t="shared" si="0"/>
        <v>-1.4999999999999999E-2</v>
      </c>
    </row>
    <row r="10" spans="2:7" ht="18" customHeight="1" x14ac:dyDescent="0.3">
      <c r="B10" s="39" t="s">
        <v>93</v>
      </c>
      <c r="C10" s="51">
        <f>IFERROR(C8/C9,"N/A")</f>
        <v>82562.5</v>
      </c>
      <c r="D10" s="51">
        <f>IFERROR(D8/D9,"N/A")</f>
        <v>75957.142857142855</v>
      </c>
      <c r="E10" s="51">
        <f>IFERROR(E8/E9,"N/A")</f>
        <v>70652.307692307688</v>
      </c>
      <c r="F10" s="52">
        <f t="shared" si="0"/>
        <v>-11910.192307692312</v>
      </c>
    </row>
    <row r="11" spans="2:7" ht="18" customHeight="1" x14ac:dyDescent="0.3">
      <c r="B11" s="39" t="s">
        <v>103</v>
      </c>
      <c r="C11" s="22">
        <f>Assumptions!C26</f>
        <v>900</v>
      </c>
      <c r="D11" s="22">
        <f>Assumptions!D26</f>
        <v>1200</v>
      </c>
      <c r="E11" s="22">
        <f>Assumptions!E26</f>
        <v>1500</v>
      </c>
      <c r="F11" s="48">
        <f t="shared" si="0"/>
        <v>600</v>
      </c>
    </row>
    <row r="12" spans="2:7" ht="18" customHeight="1" x14ac:dyDescent="0.3">
      <c r="B12" s="39" t="s">
        <v>104</v>
      </c>
      <c r="C12" s="22">
        <f>Assumptions!C15+Assumptions!C16+Assumptions!C17</f>
        <v>3500</v>
      </c>
      <c r="D12" s="22">
        <f>Assumptions!D15+Assumptions!D16+Assumptions!D17</f>
        <v>2870</v>
      </c>
      <c r="E12" s="22">
        <f>Assumptions!E15+Assumptions!E16+Assumptions!E17</f>
        <v>2530</v>
      </c>
      <c r="F12" s="48">
        <f t="shared" si="0"/>
        <v>-970</v>
      </c>
    </row>
    <row r="15" spans="2:7" ht="21.75" customHeight="1" x14ac:dyDescent="0.3">
      <c r="B15" s="29" t="s">
        <v>105</v>
      </c>
      <c r="C15" s="29"/>
      <c r="D15" s="29"/>
      <c r="E15" s="29"/>
      <c r="F15" s="29"/>
      <c r="G15" s="29"/>
    </row>
    <row r="16" spans="2:7" ht="15" customHeight="1" x14ac:dyDescent="0.3">
      <c r="B16" s="41"/>
      <c r="C16" s="41"/>
      <c r="D16" s="41"/>
      <c r="E16" s="41"/>
      <c r="F16" s="41"/>
    </row>
    <row r="17" spans="2:7" ht="18" customHeight="1" x14ac:dyDescent="0.3">
      <c r="B17" s="18" t="s">
        <v>106</v>
      </c>
      <c r="C17" s="53">
        <v>0.7</v>
      </c>
      <c r="D17" s="53">
        <v>0.8</v>
      </c>
      <c r="E17" s="53">
        <v>0.9</v>
      </c>
      <c r="F17" s="53">
        <v>1</v>
      </c>
      <c r="G17" s="53">
        <v>1.1000000000000001</v>
      </c>
    </row>
    <row r="18" spans="2:7" ht="16.5" customHeight="1" x14ac:dyDescent="0.3">
      <c r="B18" s="53">
        <v>0.05</v>
      </c>
      <c r="C18" s="54">
        <v>2989</v>
      </c>
      <c r="D18" s="54">
        <v>4204</v>
      </c>
      <c r="E18" s="54">
        <v>5419</v>
      </c>
      <c r="F18" s="54">
        <v>6634</v>
      </c>
      <c r="G18" s="54">
        <v>7849</v>
      </c>
    </row>
    <row r="19" spans="2:7" ht="16.5" customHeight="1" x14ac:dyDescent="0.3">
      <c r="B19" s="53">
        <v>0.06</v>
      </c>
      <c r="C19" s="54">
        <v>2689</v>
      </c>
      <c r="D19" s="54">
        <v>3861</v>
      </c>
      <c r="E19" s="54">
        <v>5033</v>
      </c>
      <c r="F19" s="54">
        <v>6206</v>
      </c>
      <c r="G19" s="54">
        <v>7378</v>
      </c>
    </row>
    <row r="20" spans="2:7" ht="16.5" customHeight="1" x14ac:dyDescent="0.3">
      <c r="B20" s="53">
        <v>7.0000000000000007E-2</v>
      </c>
      <c r="C20" s="54">
        <v>2405</v>
      </c>
      <c r="D20" s="54">
        <v>3537</v>
      </c>
      <c r="E20" s="54">
        <v>4668</v>
      </c>
      <c r="F20" s="54">
        <v>5800</v>
      </c>
      <c r="G20" s="54">
        <v>6932</v>
      </c>
    </row>
    <row r="21" spans="2:7" ht="16.5" customHeight="1" x14ac:dyDescent="0.3">
      <c r="B21" s="53">
        <v>0.08</v>
      </c>
      <c r="C21" s="54">
        <v>2136</v>
      </c>
      <c r="D21" s="54">
        <v>3229</v>
      </c>
      <c r="E21" s="54">
        <v>4323</v>
      </c>
      <c r="F21" s="54">
        <v>5416</v>
      </c>
      <c r="G21" s="54">
        <v>6509</v>
      </c>
    </row>
    <row r="22" spans="2:7" ht="16.5" customHeight="1" x14ac:dyDescent="0.3">
      <c r="B22" s="53">
        <v>0.09</v>
      </c>
      <c r="C22" s="54">
        <v>1881</v>
      </c>
      <c r="D22" s="54">
        <v>2938</v>
      </c>
      <c r="E22" s="54">
        <v>3995</v>
      </c>
      <c r="F22" s="54">
        <v>5052</v>
      </c>
      <c r="G22" s="54">
        <v>6109</v>
      </c>
    </row>
    <row r="25" spans="2:7" ht="21.75" customHeight="1" x14ac:dyDescent="0.3">
      <c r="B25" s="47" t="s">
        <v>107</v>
      </c>
      <c r="C25" s="47"/>
      <c r="D25" s="47"/>
      <c r="E25" s="47"/>
      <c r="F25" s="56"/>
    </row>
    <row r="26" spans="2:7" ht="18" customHeight="1" x14ac:dyDescent="0.3">
      <c r="B26" s="17" t="s">
        <v>30</v>
      </c>
      <c r="C26" s="17" t="s">
        <v>108</v>
      </c>
      <c r="D26" s="17" t="s">
        <v>109</v>
      </c>
      <c r="E26" s="17" t="s">
        <v>110</v>
      </c>
    </row>
    <row r="27" spans="2:7" ht="16.5" customHeight="1" x14ac:dyDescent="0.3">
      <c r="B27" s="20" t="s">
        <v>77</v>
      </c>
      <c r="C27" s="23">
        <v>-580</v>
      </c>
      <c r="D27" s="23">
        <v>580</v>
      </c>
      <c r="E27" s="55">
        <v>1160</v>
      </c>
    </row>
    <row r="28" spans="2:7" ht="16.5" customHeight="1" x14ac:dyDescent="0.3">
      <c r="B28" s="20" t="s">
        <v>111</v>
      </c>
      <c r="C28" s="23">
        <v>-310</v>
      </c>
      <c r="D28" s="23">
        <v>310</v>
      </c>
      <c r="E28" s="55">
        <v>620</v>
      </c>
    </row>
    <row r="29" spans="2:7" ht="16.5" customHeight="1" x14ac:dyDescent="0.3">
      <c r="B29" s="20" t="s">
        <v>102</v>
      </c>
      <c r="C29" s="23">
        <v>-290</v>
      </c>
      <c r="D29" s="23">
        <v>290</v>
      </c>
      <c r="E29" s="55">
        <v>580</v>
      </c>
    </row>
    <row r="30" spans="2:7" ht="16.5" customHeight="1" x14ac:dyDescent="0.3">
      <c r="B30" s="20" t="s">
        <v>112</v>
      </c>
      <c r="C30" s="23">
        <v>-260</v>
      </c>
      <c r="D30" s="23">
        <v>260</v>
      </c>
      <c r="E30" s="55">
        <v>520</v>
      </c>
    </row>
    <row r="31" spans="2:7" ht="16.5" customHeight="1" x14ac:dyDescent="0.3">
      <c r="B31" s="20" t="s">
        <v>78</v>
      </c>
      <c r="C31" s="23">
        <v>-210</v>
      </c>
      <c r="D31" s="23">
        <v>210</v>
      </c>
      <c r="E31" s="55">
        <v>420</v>
      </c>
    </row>
    <row r="32" spans="2:7" ht="16.5" customHeight="1" x14ac:dyDescent="0.3">
      <c r="B32" s="20" t="s">
        <v>113</v>
      </c>
      <c r="C32" s="23">
        <v>-140</v>
      </c>
      <c r="D32" s="23">
        <v>140</v>
      </c>
      <c r="E32" s="55">
        <v>280</v>
      </c>
    </row>
    <row r="33" spans="2:6" ht="15" customHeight="1" x14ac:dyDescent="0.3">
      <c r="B33" s="41"/>
      <c r="C33" s="41"/>
      <c r="D33" s="41"/>
      <c r="E33" s="41"/>
      <c r="F33" s="41"/>
    </row>
  </sheetData>
  <mergeCells count="6">
    <mergeCell ref="B33:F33"/>
    <mergeCell ref="B2:F2"/>
    <mergeCell ref="B4:F4"/>
    <mergeCell ref="B16:F16"/>
    <mergeCell ref="B15:G15"/>
    <mergeCell ref="B25:E25"/>
  </mergeCells>
  <conditionalFormatting sqref="C18:G22">
    <cfRule type="colorScale" priority="2">
      <colorScale>
        <cfvo type="min"/>
        <cfvo type="percentile" val="50"/>
        <cfvo type="max"/>
        <color rgb="FFFF6B6B"/>
        <color rgb="FFFFFF99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23"/>
  <sheetViews>
    <sheetView showGridLines="0" zoomScaleNormal="100" workbookViewId="0">
      <selection activeCell="N16" sqref="N16"/>
    </sheetView>
  </sheetViews>
  <sheetFormatPr defaultColWidth="8.6640625" defaultRowHeight="14.4" x14ac:dyDescent="0.3"/>
  <cols>
    <col min="1" max="1" width="2" style="14" customWidth="1"/>
    <col min="2" max="12" width="14" style="14" customWidth="1"/>
    <col min="13" max="13" width="8.6640625" style="57"/>
    <col min="14" max="16384" width="8.6640625" style="14"/>
  </cols>
  <sheetData>
    <row r="1" spans="2:13" ht="6" customHeight="1" x14ac:dyDescent="0.3"/>
    <row r="2" spans="2:13" ht="39.75" customHeight="1" x14ac:dyDescent="0.3">
      <c r="B2" s="58" t="s">
        <v>114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2:13" ht="6" customHeight="1" x14ac:dyDescent="0.3">
      <c r="B3" s="59"/>
      <c r="C3" s="59"/>
      <c r="D3" s="59"/>
      <c r="E3" s="59"/>
      <c r="F3" s="59"/>
      <c r="G3" s="59"/>
      <c r="H3" s="59"/>
      <c r="I3" s="59"/>
      <c r="J3" s="59"/>
      <c r="K3" s="59"/>
      <c r="L3" s="66"/>
      <c r="M3" s="66"/>
    </row>
    <row r="4" spans="2:13" ht="7.5" customHeight="1" x14ac:dyDescent="0.3"/>
    <row r="5" spans="2:13" ht="15.75" customHeight="1" x14ac:dyDescent="0.3">
      <c r="B5" s="38" t="s">
        <v>115</v>
      </c>
      <c r="C5" s="38"/>
      <c r="D5" s="38"/>
      <c r="E5" s="38" t="s">
        <v>116</v>
      </c>
      <c r="F5" s="38"/>
      <c r="G5" s="38"/>
      <c r="H5" s="38" t="s">
        <v>117</v>
      </c>
      <c r="I5" s="38"/>
      <c r="J5" s="38"/>
      <c r="K5" s="38" t="s">
        <v>118</v>
      </c>
      <c r="L5" s="38"/>
      <c r="M5" s="38"/>
    </row>
    <row r="6" spans="2:13" ht="31.5" customHeight="1" x14ac:dyDescent="0.3">
      <c r="B6" s="60">
        <f>IFERROR('Cost-Benefit'!C35,"–")</f>
        <v>6124.6368263499253</v>
      </c>
      <c r="C6" s="60"/>
      <c r="D6" s="60"/>
      <c r="E6" s="61">
        <f>IFERROR('Cost-Benefit'!C36,"–")</f>
        <v>0.66538208606274485</v>
      </c>
      <c r="F6" s="61"/>
      <c r="G6" s="61"/>
      <c r="H6" s="62">
        <f>IFERROR('Cost-Benefit'!C39,"–")</f>
        <v>2.5206903205797095</v>
      </c>
      <c r="I6" s="62"/>
      <c r="J6" s="62"/>
      <c r="K6" s="63" t="str">
        <f>'Cost-Benefit'!C40</f>
        <v>Review</v>
      </c>
      <c r="L6" s="63"/>
      <c r="M6" s="63"/>
    </row>
    <row r="7" spans="2:13" ht="13.5" customHeight="1" x14ac:dyDescent="0.3">
      <c r="B7" s="64" t="s">
        <v>119</v>
      </c>
      <c r="C7" s="64"/>
      <c r="D7" s="64"/>
      <c r="E7" s="64" t="s">
        <v>120</v>
      </c>
      <c r="F7" s="64"/>
      <c r="G7" s="64"/>
      <c r="H7" s="64" t="s">
        <v>93</v>
      </c>
      <c r="I7" s="64"/>
      <c r="J7" s="64"/>
      <c r="K7" s="64" t="s">
        <v>121</v>
      </c>
      <c r="L7" s="64"/>
      <c r="M7" s="64"/>
    </row>
    <row r="9" spans="2:13" ht="18" customHeight="1" x14ac:dyDescent="0.3">
      <c r="B9" s="38" t="str">
        <f>Assumptions!C5&amp;"  |  Discount Rate: "&amp;TEXT(Assumptions!D11,"0.0%")&amp;"  |  Analysis Horizon: "&amp;Assumptions!D9&amp;" years"</f>
        <v>Base Case  |  Discount Rate: 7.0%  |  Analysis Horizon: 7 years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</row>
    <row r="11" spans="2:13" ht="18" customHeight="1" x14ac:dyDescent="0.3">
      <c r="B11" s="38" t="s">
        <v>122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2:13" s="57" customFormat="1" ht="9.6" customHeight="1" x14ac:dyDescent="0.3"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</row>
    <row r="13" spans="2:13" ht="18" customHeight="1" x14ac:dyDescent="0.3">
      <c r="B13" s="17"/>
      <c r="C13" s="42">
        <v>2024</v>
      </c>
      <c r="D13" s="42">
        <v>2025</v>
      </c>
      <c r="E13" s="42">
        <v>2026</v>
      </c>
      <c r="F13" s="42">
        <v>2027</v>
      </c>
      <c r="G13" s="42">
        <v>2028</v>
      </c>
      <c r="H13" s="42">
        <v>2029</v>
      </c>
      <c r="I13" s="42">
        <v>2030</v>
      </c>
      <c r="J13" s="17" t="s">
        <v>123</v>
      </c>
    </row>
    <row r="14" spans="2:13" ht="26.4" x14ac:dyDescent="0.3">
      <c r="B14" s="24" t="s">
        <v>124</v>
      </c>
      <c r="C14" s="22">
        <f>'Cost-Benefit'!D26</f>
        <v>840</v>
      </c>
      <c r="D14" s="22">
        <f>'Cost-Benefit'!E26</f>
        <v>1680</v>
      </c>
      <c r="E14" s="22">
        <f>'Cost-Benefit'!F26</f>
        <v>2163</v>
      </c>
      <c r="F14" s="22">
        <f>'Cost-Benefit'!G26</f>
        <v>2227.89</v>
      </c>
      <c r="G14" s="22">
        <f>'Cost-Benefit'!H26</f>
        <v>2294.7267000000002</v>
      </c>
      <c r="H14" s="22">
        <f>'Cost-Benefit'!I26</f>
        <v>2363.5685009999997</v>
      </c>
      <c r="I14" s="22">
        <f>'Cost-Benefit'!J26</f>
        <v>2434.4755560299996</v>
      </c>
      <c r="J14" s="22">
        <f>SUM('Cost-Benefit'!D26:J26)</f>
        <v>14003.660757029998</v>
      </c>
    </row>
    <row r="15" spans="2:13" x14ac:dyDescent="0.3">
      <c r="B15" s="24" t="s">
        <v>125</v>
      </c>
      <c r="C15" s="22">
        <f>'Cost-Benefit'!D20</f>
        <v>3157</v>
      </c>
      <c r="D15" s="22">
        <f>'Cost-Benefit'!E20</f>
        <v>370.8</v>
      </c>
      <c r="E15" s="22">
        <f>'Cost-Benefit'!F20</f>
        <v>381.92399999999998</v>
      </c>
      <c r="F15" s="22">
        <f>'Cost-Benefit'!G20</f>
        <v>393.38171999999997</v>
      </c>
      <c r="G15" s="22">
        <f>'Cost-Benefit'!H20</f>
        <v>405.18317159999998</v>
      </c>
      <c r="H15" s="22">
        <f>'Cost-Benefit'!I20</f>
        <v>417.33866674799992</v>
      </c>
      <c r="I15" s="22">
        <f>'Cost-Benefit'!J20</f>
        <v>429.8588267504399</v>
      </c>
      <c r="J15" s="22">
        <f>SUM('Cost-Benefit'!D20:J20)</f>
        <v>5555.4863850984402</v>
      </c>
    </row>
    <row r="16" spans="2:13" ht="26.4" x14ac:dyDescent="0.3">
      <c r="B16" s="24" t="s">
        <v>126</v>
      </c>
      <c r="C16" s="22">
        <f>'Cost-Benefit'!D29</f>
        <v>-2317</v>
      </c>
      <c r="D16" s="22">
        <f>'Cost-Benefit'!E29</f>
        <v>1309.2</v>
      </c>
      <c r="E16" s="22">
        <f>'Cost-Benefit'!F29</f>
        <v>1781.076</v>
      </c>
      <c r="F16" s="22">
        <f>'Cost-Benefit'!G29</f>
        <v>1834.50828</v>
      </c>
      <c r="G16" s="22">
        <f>'Cost-Benefit'!H29</f>
        <v>1889.5435284000002</v>
      </c>
      <c r="H16" s="22">
        <f>'Cost-Benefit'!I29</f>
        <v>1946.2298342519998</v>
      </c>
      <c r="I16" s="22">
        <f>'Cost-Benefit'!J29</f>
        <v>2004.6167292795596</v>
      </c>
      <c r="J16" s="22">
        <f>SUM('Cost-Benefit'!D29:J29)</f>
        <v>8448.17437193156</v>
      </c>
    </row>
    <row r="17" spans="2:13" x14ac:dyDescent="0.3">
      <c r="B17" s="24" t="s">
        <v>127</v>
      </c>
      <c r="C17" s="22">
        <f>'Cost-Benefit'!D31</f>
        <v>-2317</v>
      </c>
      <c r="D17" s="22">
        <f>'Cost-Benefit'!E31</f>
        <v>1223.551401869159</v>
      </c>
      <c r="E17" s="22">
        <f>'Cost-Benefit'!F31</f>
        <v>1555.6607563979385</v>
      </c>
      <c r="F17" s="22">
        <f>'Cost-Benefit'!G31</f>
        <v>1497.5052141026883</v>
      </c>
      <c r="G17" s="22">
        <f>'Cost-Benefit'!H31</f>
        <v>1441.5237107717471</v>
      </c>
      <c r="H17" s="22">
        <f>'Cost-Benefit'!I31</f>
        <v>1387.6349739204666</v>
      </c>
      <c r="I17" s="22">
        <f>'Cost-Benefit'!J31</f>
        <v>1335.7607692879255</v>
      </c>
      <c r="J17" s="22">
        <f>SUMPRODUCT('Cost-Benefit'!D31:J31)</f>
        <v>6124.6368263499253</v>
      </c>
    </row>
    <row r="18" spans="2:13" ht="26.4" x14ac:dyDescent="0.3">
      <c r="B18" s="24" t="s">
        <v>128</v>
      </c>
      <c r="C18" s="22">
        <f>'Cost-Benefit'!D32</f>
        <v>-2317</v>
      </c>
      <c r="D18" s="22">
        <f>'Cost-Benefit'!E32</f>
        <v>-1007.8</v>
      </c>
      <c r="E18" s="22">
        <f>'Cost-Benefit'!F32</f>
        <v>773.27600000000007</v>
      </c>
      <c r="F18" s="22">
        <f>'Cost-Benefit'!G32</f>
        <v>2607.7842799999999</v>
      </c>
      <c r="G18" s="22">
        <f>'Cost-Benefit'!H32</f>
        <v>4497.3278084000003</v>
      </c>
      <c r="H18" s="22">
        <f>'Cost-Benefit'!I32</f>
        <v>6443.5576426520001</v>
      </c>
      <c r="I18" s="22">
        <f>'Cost-Benefit'!J32</f>
        <v>8448.17437193156</v>
      </c>
      <c r="J18" s="22">
        <f>'Cost-Benefit'!J32</f>
        <v>8448.17437193156</v>
      </c>
    </row>
    <row r="20" spans="2:13" ht="21.75" customHeight="1" x14ac:dyDescent="0.3">
      <c r="B20" s="29" t="s">
        <v>129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</row>
    <row r="21" spans="2:13" ht="60" customHeight="1" x14ac:dyDescent="0.3">
      <c r="B21" s="67" t="s">
        <v>156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</row>
    <row r="23" spans="2:13" ht="13.5" customHeight="1" x14ac:dyDescent="0.3"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</row>
  </sheetData>
  <mergeCells count="18">
    <mergeCell ref="B5:D5"/>
    <mergeCell ref="E5:G5"/>
    <mergeCell ref="H5:J5"/>
    <mergeCell ref="K5:M5"/>
    <mergeCell ref="B2:M2"/>
    <mergeCell ref="B6:D6"/>
    <mergeCell ref="E6:G6"/>
    <mergeCell ref="H6:J6"/>
    <mergeCell ref="K6:M6"/>
    <mergeCell ref="B7:D7"/>
    <mergeCell ref="E7:G7"/>
    <mergeCell ref="H7:J7"/>
    <mergeCell ref="K7:M7"/>
    <mergeCell ref="B23:L23"/>
    <mergeCell ref="B9:M9"/>
    <mergeCell ref="B11:M11"/>
    <mergeCell ref="B20:M20"/>
    <mergeCell ref="B21:M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19"/>
  <sheetViews>
    <sheetView showGridLines="0" zoomScaleNormal="100" workbookViewId="0">
      <selection activeCell="J9" sqref="J9"/>
    </sheetView>
  </sheetViews>
  <sheetFormatPr defaultColWidth="8.6640625" defaultRowHeight="14.4" x14ac:dyDescent="0.3"/>
  <cols>
    <col min="1" max="1" width="3" style="14" customWidth="1"/>
    <col min="2" max="2" width="35" style="14" customWidth="1"/>
    <col min="3" max="3" width="25" style="14" customWidth="1"/>
    <col min="4" max="4" width="15" style="14" customWidth="1"/>
    <col min="5" max="5" width="3" style="14" customWidth="1"/>
    <col min="6" max="16384" width="8.6640625" style="14"/>
  </cols>
  <sheetData>
    <row r="2" spans="2:4" ht="36" customHeight="1" x14ac:dyDescent="0.3">
      <c r="B2" s="13" t="s">
        <v>157</v>
      </c>
      <c r="C2" s="13"/>
      <c r="D2" s="13"/>
    </row>
    <row r="4" spans="2:4" ht="15" customHeight="1" x14ac:dyDescent="0.3">
      <c r="B4" s="38" t="s">
        <v>130</v>
      </c>
      <c r="C4" s="38"/>
      <c r="D4" s="38"/>
    </row>
    <row r="5" spans="2:4" ht="18" customHeight="1" x14ac:dyDescent="0.3">
      <c r="B5" s="17" t="s">
        <v>131</v>
      </c>
      <c r="C5" s="17" t="s">
        <v>132</v>
      </c>
      <c r="D5" s="17" t="s">
        <v>10</v>
      </c>
    </row>
    <row r="6" spans="2:4" ht="18" customHeight="1" x14ac:dyDescent="0.3">
      <c r="B6" s="20" t="s">
        <v>133</v>
      </c>
      <c r="C6" s="22">
        <f>'Cost-Benefit'!K26</f>
        <v>14003.660757029998</v>
      </c>
      <c r="D6" s="69" t="str">
        <f>IF(C6&gt;0,"PASS","FAIL")</f>
        <v>PASS</v>
      </c>
    </row>
    <row r="7" spans="2:4" ht="18" customHeight="1" x14ac:dyDescent="0.3">
      <c r="B7" s="20" t="s">
        <v>134</v>
      </c>
      <c r="C7" s="22">
        <f>'Cost-Benefit'!K20</f>
        <v>5555.4863850984402</v>
      </c>
      <c r="D7" s="69" t="str">
        <f t="shared" ref="D7:D10" si="0">IF(C7&gt;0,"PASS","FAIL")</f>
        <v>PASS</v>
      </c>
    </row>
    <row r="8" spans="2:4" ht="18" customHeight="1" x14ac:dyDescent="0.3">
      <c r="B8" s="20" t="s">
        <v>135</v>
      </c>
      <c r="C8" s="22">
        <f>Assumptions!D11</f>
        <v>7.0000000000000007E-2</v>
      </c>
      <c r="D8" s="69" t="str">
        <f t="shared" si="0"/>
        <v>PASS</v>
      </c>
    </row>
    <row r="9" spans="2:4" ht="18" customHeight="1" x14ac:dyDescent="0.3">
      <c r="B9" s="20" t="s">
        <v>136</v>
      </c>
      <c r="C9" s="22">
        <f>MIN('Cost-Benefit'!D30:J30)</f>
        <v>0.66634222381651254</v>
      </c>
      <c r="D9" s="69" t="str">
        <f t="shared" si="0"/>
        <v>PASS</v>
      </c>
    </row>
    <row r="10" spans="2:4" ht="18" customHeight="1" x14ac:dyDescent="0.3">
      <c r="B10" s="20" t="s">
        <v>137</v>
      </c>
      <c r="C10" s="22">
        <f>'Cost-Benefit'!C39</f>
        <v>2.5206903205797095</v>
      </c>
      <c r="D10" s="69" t="str">
        <f t="shared" si="0"/>
        <v>PASS</v>
      </c>
    </row>
    <row r="13" spans="2:4" ht="15" customHeight="1" x14ac:dyDescent="0.3">
      <c r="B13" s="38" t="s">
        <v>138</v>
      </c>
      <c r="C13" s="38"/>
      <c r="D13" s="38"/>
    </row>
    <row r="14" spans="2:4" ht="16.5" customHeight="1" x14ac:dyDescent="0.3">
      <c r="B14" s="70" t="s">
        <v>139</v>
      </c>
      <c r="C14" s="71" t="str">
        <f>Assumptions!C5</f>
        <v>Base Case</v>
      </c>
    </row>
    <row r="15" spans="2:4" ht="16.5" customHeight="1" x14ac:dyDescent="0.3">
      <c r="B15" s="70" t="s">
        <v>140</v>
      </c>
      <c r="C15" s="72">
        <f>'Cost-Benefit'!C35</f>
        <v>6124.6368263499253</v>
      </c>
    </row>
    <row r="16" spans="2:4" ht="16.5" customHeight="1" x14ac:dyDescent="0.3">
      <c r="B16" s="70" t="s">
        <v>141</v>
      </c>
      <c r="C16" s="73">
        <f>'Cost-Benefit'!C36</f>
        <v>0.66538208606274485</v>
      </c>
    </row>
    <row r="17" spans="2:3" ht="16.5" customHeight="1" x14ac:dyDescent="0.3">
      <c r="B17" s="70" t="s">
        <v>121</v>
      </c>
      <c r="C17" s="71" t="str">
        <f>'Cost-Benefit'!C40</f>
        <v>Review</v>
      </c>
    </row>
    <row r="18" spans="2:3" ht="16.5" customHeight="1" x14ac:dyDescent="0.3">
      <c r="B18" s="70" t="s">
        <v>142</v>
      </c>
      <c r="C18" s="74" t="s">
        <v>144</v>
      </c>
    </row>
    <row r="19" spans="2:3" ht="16.5" customHeight="1" x14ac:dyDescent="0.3">
      <c r="B19" s="70" t="s">
        <v>143</v>
      </c>
      <c r="C19" s="74" t="s">
        <v>7</v>
      </c>
    </row>
  </sheetData>
  <mergeCells count="3">
    <mergeCell ref="B2:D2"/>
    <mergeCell ref="B4:D4"/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Assumptions</vt:lpstr>
      <vt:lpstr>Cost-Benefit</vt:lpstr>
      <vt:lpstr>Scenario Analysis</vt:lpstr>
      <vt:lpstr>Exec Dashboard</vt:lpstr>
      <vt:lpstr>Audit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Nathan Gregory Wallis</cp:lastModifiedBy>
  <cp:revision>0</cp:revision>
  <dcterms:created xsi:type="dcterms:W3CDTF">2026-06-03T06:21:09Z</dcterms:created>
  <dcterms:modified xsi:type="dcterms:W3CDTF">2026-06-06T03:54:40Z</dcterms:modified>
  <dc:language>en-US</dc:language>
</cp:coreProperties>
</file>